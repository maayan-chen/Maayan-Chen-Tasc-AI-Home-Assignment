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urrent Systems Inventory" sheetId="2" state="visible" r:id="rId2"/>
    <sheet xmlns:r="http://schemas.openxmlformats.org/officeDocument/2006/relationships" name="Digital Maturity Scorecard" sheetId="3" state="visible" r:id="rId3"/>
    <sheet xmlns:r="http://schemas.openxmlformats.org/officeDocument/2006/relationships" name="Manual Process Flags" sheetId="4" state="visible" r:id="rId4"/>
    <sheet xmlns:r="http://schemas.openxmlformats.org/officeDocument/2006/relationships" name="Investment Cost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b val="1"/>
      <color rgb="001B2A4A"/>
      <sz val="14"/>
    </font>
    <font>
      <color rgb="001C635C"/>
      <sz val="12"/>
    </font>
    <font>
      <b val="1"/>
      <sz val="10"/>
    </font>
    <font>
      <i val="1"/>
      <color rgb="00777777"/>
      <sz val="9"/>
    </font>
    <font>
      <b val="1"/>
      <color rgb="001B2A4A"/>
      <sz val="12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wrapText="1"/>
    </xf>
    <xf numFmtId="0" fontId="0" fillId="3" borderId="0" pivotButton="0" quotePrefix="0" xfId="0"/>
    <xf numFmtId="164" fontId="0" fillId="0" borderId="0" pivotButton="0" quotePrefix="0" xfId="0"/>
    <xf numFmtId="0" fontId="6" fillId="2" borderId="0" pivotButton="0" quotePrefix="0" xfId="0"/>
    <xf numFmtId="0" fontId="7" fillId="0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80" customWidth="1" min="2" max="2"/>
  </cols>
  <sheetData>
    <row r="2">
      <c r="B2" s="1" t="inlineStr">
        <is>
          <t>Ministry of Justice — Digital Transformation Engagement</t>
        </is>
      </c>
    </row>
    <row r="3">
      <c r="B3" s="2" t="inlineStr">
        <is>
          <t>Current-State Systems &amp; Process Data — Working File</t>
        </is>
      </c>
    </row>
    <row r="4">
      <c r="B4" t="inlineStr"/>
    </row>
    <row r="5">
      <c r="B5" s="3" t="inlineStr">
        <is>
          <t>Prepared by:</t>
        </is>
      </c>
    </row>
    <row r="6">
      <c r="B6" t="inlineStr">
        <is>
          <t>Maayan Chen, Engagement Lead — Meridian Strategy Partners</t>
        </is>
      </c>
    </row>
    <row r="7">
      <c r="B7" s="3" t="inlineStr">
        <is>
          <t>Client contact:</t>
        </is>
      </c>
    </row>
    <row r="8">
      <c r="B8" t="inlineStr">
        <is>
          <t>Yoav Peretz, Chief Information Officer, Ministry of Justice</t>
        </is>
      </c>
    </row>
    <row r="9">
      <c r="B9" s="3" t="inlineStr">
        <is>
          <t>Date:</t>
        </is>
      </c>
    </row>
    <row r="10">
      <c r="B10" t="inlineStr">
        <is>
          <t>August 2026</t>
        </is>
      </c>
    </row>
    <row r="11">
      <c r="B11" s="3" t="inlineStr">
        <is>
          <t>Classification:</t>
        </is>
      </c>
    </row>
    <row r="12">
      <c r="B12" t="inlineStr">
        <is>
          <t>Confidential — Internal Working Draft — Not for Distribution</t>
        </is>
      </c>
    </row>
    <row r="13">
      <c r="B13" t="inlineStr"/>
    </row>
    <row r="14">
      <c r="B14" s="4" t="inlineStr">
        <is>
          <t>NOTE: All system names, owners, and figures in this workbook are</t>
        </is>
      </c>
    </row>
    <row r="15">
      <c r="B15" t="inlineStr">
        <is>
          <t>fictional placeholder data created for internal project simulation purposes only.</t>
        </is>
      </c>
    </row>
    <row r="16">
      <c r="B16" t="inlineStr"/>
    </row>
    <row r="17">
      <c r="B17" s="3" t="inlineStr">
        <is>
          <t>Contents</t>
        </is>
      </c>
    </row>
    <row r="18">
      <c r="B18" t="inlineStr">
        <is>
          <t>1. Current Systems &amp; Process Inventory</t>
        </is>
      </c>
    </row>
    <row r="19">
      <c r="B19" t="inlineStr">
        <is>
          <t>2. Digital Maturity Scorecard by Directorate</t>
        </is>
      </c>
    </row>
    <row r="20">
      <c r="B20" t="inlineStr">
        <is>
          <t>3. Manual/Paper-Based Process Flags</t>
        </is>
      </c>
    </row>
    <row r="21">
      <c r="B21" t="inlineStr">
        <is>
          <t>4. Technology Investment Cost Summary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9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22" customWidth="1" min="3" max="3"/>
    <col width="18" customWidth="1" min="4" max="4"/>
    <col width="18" customWidth="1" min="5" max="5"/>
    <col width="16" customWidth="1" min="6" max="6"/>
    <col width="12" customWidth="1" min="7" max="7"/>
    <col width="22" customWidth="1" min="8" max="8"/>
    <col width="14" customWidth="1" min="9" max="9"/>
    <col width="22" customWidth="1" min="10" max="10"/>
    <col width="12" customWidth="1" min="11" max="11"/>
    <col width="20" customWidth="1" min="12" max="12"/>
  </cols>
  <sheetData>
    <row r="1">
      <c r="A1" s="5" t="inlineStr">
        <is>
          <t>Ministry of Justice — Current Systems &amp; Process Inventory (as of July 2026)</t>
        </is>
      </c>
    </row>
    <row r="2">
      <c r="A2" s="4" t="inlineStr">
        <is>
          <t>Source: IT asset register reconciled with directorate walkthroughs, July 2026 — fictional sample data</t>
        </is>
      </c>
    </row>
    <row r="4">
      <c r="A4" s="6" t="inlineStr">
        <is>
          <t>System ID</t>
        </is>
      </c>
      <c r="B4" s="6" t="inlineStr">
        <is>
          <t>System / Process Name</t>
        </is>
      </c>
      <c r="C4" s="6" t="inlineStr">
        <is>
          <t>Directorate</t>
        </is>
      </c>
      <c r="D4" s="6" t="inlineStr">
        <is>
          <t>Sub-Unit</t>
        </is>
      </c>
      <c r="E4" s="6" t="inlineStr">
        <is>
          <t>System Type</t>
        </is>
      </c>
      <c r="F4" s="6" t="inlineStr">
        <is>
          <t>Owner</t>
        </is>
      </c>
      <c r="G4" s="6" t="inlineStr">
        <is>
          <t>Year Deployed</t>
        </is>
      </c>
      <c r="H4" s="6" t="inlineStr">
        <is>
          <t>Technology Stack</t>
        </is>
      </c>
      <c r="I4" s="6" t="inlineStr">
        <is>
          <t>Digitization Level</t>
        </is>
      </c>
      <c r="J4" s="6" t="inlineStr">
        <is>
          <t>Annual Maintenance Cost (ILS)</t>
        </is>
      </c>
      <c r="K4" s="6" t="inlineStr">
        <is>
          <t>Citizen-Facing</t>
        </is>
      </c>
      <c r="L4" s="6" t="inlineStr">
        <is>
          <t>Paper/Manual Step Present</t>
        </is>
      </c>
    </row>
    <row r="5">
      <c r="A5" t="inlineStr">
        <is>
          <t>S-101</t>
        </is>
      </c>
      <c r="B5" t="inlineStr">
        <is>
          <t>Net HaMishpat (Civil Case Management)</t>
        </is>
      </c>
      <c r="C5" t="inlineStr">
        <is>
          <t>Courts Administration</t>
        </is>
      </c>
      <c r="D5" t="inlineStr">
        <is>
          <t>Civil Docket</t>
        </is>
      </c>
      <c r="E5" t="inlineStr">
        <is>
          <t>Legacy Mainframe</t>
        </is>
      </c>
      <c r="F5" t="inlineStr">
        <is>
          <t>Ilan Doron</t>
        </is>
      </c>
      <c r="G5" t="n">
        <v>2004</v>
      </c>
      <c r="H5" t="inlineStr">
        <is>
          <t>COBOL / AS400</t>
        </is>
      </c>
      <c r="I5" t="inlineStr">
        <is>
          <t>Low</t>
        </is>
      </c>
      <c r="J5" t="n">
        <v>1450000</v>
      </c>
      <c r="K5" t="inlineStr">
        <is>
          <t>Yes</t>
        </is>
      </c>
      <c r="L5" t="inlineStr">
        <is>
          <t>Yes</t>
        </is>
      </c>
    </row>
    <row r="6">
      <c r="A6" s="7" t="inlineStr">
        <is>
          <t>S-102</t>
        </is>
      </c>
      <c r="B6" s="7" t="inlineStr">
        <is>
          <t>Criminal Docket System</t>
        </is>
      </c>
      <c r="C6" s="7" t="inlineStr">
        <is>
          <t>Courts Administration</t>
        </is>
      </c>
      <c r="D6" s="7" t="inlineStr">
        <is>
          <t>Criminal Docket</t>
        </is>
      </c>
      <c r="E6" s="7" t="inlineStr">
        <is>
          <t>Legacy Mainframe</t>
        </is>
      </c>
      <c r="F6" s="7" t="inlineStr">
        <is>
          <t>Ilan Doron</t>
        </is>
      </c>
      <c r="G6" s="7" t="n">
        <v>2004</v>
      </c>
      <c r="H6" s="7" t="inlineStr">
        <is>
          <t>COBOL / AS400</t>
        </is>
      </c>
      <c r="I6" s="7" t="inlineStr">
        <is>
          <t>Low</t>
        </is>
      </c>
      <c r="J6" s="7" t="n">
        <v>1180000</v>
      </c>
      <c r="K6" s="7" t="inlineStr">
        <is>
          <t>No</t>
        </is>
      </c>
      <c r="L6" s="7" t="inlineStr">
        <is>
          <t>Yes</t>
        </is>
      </c>
    </row>
    <row r="7">
      <c r="A7" t="inlineStr">
        <is>
          <t>S-103</t>
        </is>
      </c>
      <c r="B7" t="inlineStr">
        <is>
          <t>Court Scheduling Portal</t>
        </is>
      </c>
      <c r="C7" t="inlineStr">
        <is>
          <t>Courts Administration</t>
        </is>
      </c>
      <c r="D7" t="inlineStr">
        <is>
          <t>Scheduling</t>
        </is>
      </c>
      <c r="E7" t="inlineStr">
        <is>
          <t>Web Application</t>
        </is>
      </c>
      <c r="F7" t="inlineStr">
        <is>
          <t>Michal Sror</t>
        </is>
      </c>
      <c r="G7" t="n">
        <v>2015</v>
      </c>
      <c r="H7" t="inlineStr">
        <is>
          <t>.NET / SQL Server</t>
        </is>
      </c>
      <c r="I7" t="inlineStr">
        <is>
          <t>Medium</t>
        </is>
      </c>
      <c r="J7" t="n">
        <v>340000</v>
      </c>
      <c r="K7" t="inlineStr">
        <is>
          <t>Yes</t>
        </is>
      </c>
      <c r="L7" t="inlineStr">
        <is>
          <t>No</t>
        </is>
      </c>
    </row>
    <row r="8">
      <c r="A8" s="7" t="inlineStr">
        <is>
          <t>S-104</t>
        </is>
      </c>
      <c r="B8" s="7" t="inlineStr">
        <is>
          <t>E-Filing Citizen Portal</t>
        </is>
      </c>
      <c r="C8" s="7" t="inlineStr">
        <is>
          <t>Courts Administration</t>
        </is>
      </c>
      <c r="D8" s="7" t="inlineStr">
        <is>
          <t>Civil Docket</t>
        </is>
      </c>
      <c r="E8" s="7" t="inlineStr">
        <is>
          <t>Web Application</t>
        </is>
      </c>
      <c r="F8" s="7" t="inlineStr">
        <is>
          <t>Michal Sror</t>
        </is>
      </c>
      <c r="G8" s="7" t="n">
        <v>2018</v>
      </c>
      <c r="H8" s="7" t="inlineStr">
        <is>
          <t>.NET / SQL Server</t>
        </is>
      </c>
      <c r="I8" s="7" t="inlineStr">
        <is>
          <t>Medium</t>
        </is>
      </c>
      <c r="J8" s="7" t="n">
        <v>410000</v>
      </c>
      <c r="K8" s="7" t="inlineStr">
        <is>
          <t>Yes</t>
        </is>
      </c>
      <c r="L8" s="7" t="inlineStr">
        <is>
          <t>No</t>
        </is>
      </c>
    </row>
    <row r="9">
      <c r="A9" t="inlineStr">
        <is>
          <t>S-105</t>
        </is>
      </c>
      <c r="B9" t="inlineStr">
        <is>
          <t>Tabu Land Registry Core</t>
        </is>
      </c>
      <c r="C9" t="inlineStr">
        <is>
          <t>Land Registry (Tabu)</t>
        </is>
      </c>
      <c r="D9" t="inlineStr">
        <is>
          <t>Registration</t>
        </is>
      </c>
      <c r="E9" t="inlineStr">
        <is>
          <t>Legacy Mainframe</t>
        </is>
      </c>
      <c r="F9" t="inlineStr">
        <is>
          <t>Eitan Full</t>
        </is>
      </c>
      <c r="G9" t="n">
        <v>1998</v>
      </c>
      <c r="H9" t="inlineStr">
        <is>
          <t>COBOL / DB2</t>
        </is>
      </c>
      <c r="I9" t="inlineStr">
        <is>
          <t>Low</t>
        </is>
      </c>
      <c r="J9" t="n">
        <v>1620000</v>
      </c>
      <c r="K9" t="inlineStr">
        <is>
          <t>Yes</t>
        </is>
      </c>
      <c r="L9" t="inlineStr">
        <is>
          <t>Yes</t>
        </is>
      </c>
    </row>
    <row r="10">
      <c r="A10" s="7" t="inlineStr">
        <is>
          <t>S-106</t>
        </is>
      </c>
      <c r="B10" s="7" t="inlineStr">
        <is>
          <t>Land Registry Document Archive</t>
        </is>
      </c>
      <c r="C10" s="7" t="inlineStr">
        <is>
          <t>Land Registry (Tabu)</t>
        </is>
      </c>
      <c r="D10" s="7" t="inlineStr">
        <is>
          <t>Archive</t>
        </is>
      </c>
      <c r="E10" s="7" t="inlineStr">
        <is>
          <t>On-Prem File Server</t>
        </is>
      </c>
      <c r="F10" s="7" t="inlineStr">
        <is>
          <t>Eitan Full</t>
        </is>
      </c>
      <c r="G10" s="7" t="n">
        <v>2009</v>
      </c>
      <c r="H10" s="7" t="inlineStr">
        <is>
          <t>File Shares / Scanned TIFF</t>
        </is>
      </c>
      <c r="I10" s="7" t="inlineStr">
        <is>
          <t>Low</t>
        </is>
      </c>
      <c r="J10" s="7" t="n">
        <v>280000</v>
      </c>
      <c r="K10" s="7" t="inlineStr">
        <is>
          <t>No</t>
        </is>
      </c>
      <c r="L10" s="7" t="inlineStr">
        <is>
          <t>Yes</t>
        </is>
      </c>
    </row>
    <row r="11">
      <c r="A11" t="inlineStr">
        <is>
          <t>S-107</t>
        </is>
      </c>
      <c r="B11" t="inlineStr">
        <is>
          <t>Tabu Extract Request Service</t>
        </is>
      </c>
      <c r="C11" t="inlineStr">
        <is>
          <t>Land Registry (Tabu)</t>
        </is>
      </c>
      <c r="D11" t="inlineStr">
        <is>
          <t>Registration</t>
        </is>
      </c>
      <c r="E11" t="inlineStr">
        <is>
          <t>Web Application</t>
        </is>
      </c>
      <c r="F11" t="inlineStr">
        <is>
          <t>Noa Kramer</t>
        </is>
      </c>
      <c r="G11" t="n">
        <v>2019</v>
      </c>
      <c r="H11" t="inlineStr">
        <is>
          <t>Java / PostgreSQL</t>
        </is>
      </c>
      <c r="I11" t="inlineStr">
        <is>
          <t>Medium</t>
        </is>
      </c>
      <c r="J11" t="n">
        <v>190000</v>
      </c>
      <c r="K11" t="inlineStr">
        <is>
          <t>Yes</t>
        </is>
      </c>
      <c r="L11" t="inlineStr">
        <is>
          <t>No</t>
        </is>
      </c>
    </row>
    <row r="12">
      <c r="A12" s="7" t="inlineStr">
        <is>
          <t>S-108</t>
        </is>
      </c>
      <c r="B12" s="7" t="inlineStr">
        <is>
          <t>Hotza'ah LaPoal Case Tracker</t>
        </is>
      </c>
      <c r="C12" s="7" t="inlineStr">
        <is>
          <t>Enforcement &amp; Collections</t>
        </is>
      </c>
      <c r="D12" s="7" t="inlineStr">
        <is>
          <t>Case Tracking</t>
        </is>
      </c>
      <c r="E12" s="7" t="inlineStr">
        <is>
          <t>Legacy Client-Server</t>
        </is>
      </c>
      <c r="F12" s="7" t="inlineStr">
        <is>
          <t>Dan Weissman</t>
        </is>
      </c>
      <c r="G12" s="7" t="n">
        <v>2007</v>
      </c>
      <c r="H12" s="7" t="inlineStr">
        <is>
          <t>Delphi / Oracle</t>
        </is>
      </c>
      <c r="I12" s="7" t="inlineStr">
        <is>
          <t>Low</t>
        </is>
      </c>
      <c r="J12" s="7" t="n">
        <v>890000</v>
      </c>
      <c r="K12" s="7" t="inlineStr">
        <is>
          <t>No</t>
        </is>
      </c>
      <c r="L12" s="7" t="inlineStr">
        <is>
          <t>Yes</t>
        </is>
      </c>
    </row>
    <row r="13">
      <c r="A13" t="inlineStr">
        <is>
          <t>S-109</t>
        </is>
      </c>
      <c r="B13" t="inlineStr">
        <is>
          <t>Debtor Payment Portal</t>
        </is>
      </c>
      <c r="C13" t="inlineStr">
        <is>
          <t>Enforcement &amp; Collections</t>
        </is>
      </c>
      <c r="D13" t="inlineStr">
        <is>
          <t>Payments</t>
        </is>
      </c>
      <c r="E13" t="inlineStr">
        <is>
          <t>Web Application</t>
        </is>
      </c>
      <c r="F13" t="inlineStr">
        <is>
          <t>Dan Weissman</t>
        </is>
      </c>
      <c r="G13" t="n">
        <v>2017</v>
      </c>
      <c r="H13" t="inlineStr">
        <is>
          <t>PHP / MySQL</t>
        </is>
      </c>
      <c r="I13" t="inlineStr">
        <is>
          <t>Medium</t>
        </is>
      </c>
      <c r="J13" t="n">
        <v>260000</v>
      </c>
      <c r="K13" t="inlineStr">
        <is>
          <t>Yes</t>
        </is>
      </c>
      <c r="L13" t="inlineStr">
        <is>
          <t>No</t>
        </is>
      </c>
    </row>
    <row r="14">
      <c r="A14" s="7" t="inlineStr">
        <is>
          <t>S-110</t>
        </is>
      </c>
      <c r="B14" s="7" t="inlineStr">
        <is>
          <t>Bailiff Field Operations App</t>
        </is>
      </c>
      <c r="C14" s="7" t="inlineStr">
        <is>
          <t>Enforcement &amp; Collections</t>
        </is>
      </c>
      <c r="D14" s="7" t="inlineStr">
        <is>
          <t>Field Operations</t>
        </is>
      </c>
      <c r="E14" s="7" t="inlineStr">
        <is>
          <t>Paper Forms</t>
        </is>
      </c>
      <c r="F14" s="7" t="inlineStr">
        <is>
          <t>Sagi Turgeman</t>
        </is>
      </c>
      <c r="G14" s="7" t="n"/>
      <c r="H14" s="7" t="inlineStr">
        <is>
          <t>Paper-based</t>
        </is>
      </c>
      <c r="I14" s="7" t="inlineStr">
        <is>
          <t>None</t>
        </is>
      </c>
      <c r="J14" s="7" t="n">
        <v>0</v>
      </c>
      <c r="K14" s="7" t="inlineStr">
        <is>
          <t>No</t>
        </is>
      </c>
      <c r="L14" s="7" t="inlineStr">
        <is>
          <t>Yes</t>
        </is>
      </c>
    </row>
    <row r="15">
      <c r="A15" t="inlineStr">
        <is>
          <t>S-111</t>
        </is>
      </c>
      <c r="B15" t="inlineStr">
        <is>
          <t>Legal Opinion Repository</t>
        </is>
      </c>
      <c r="C15" t="inlineStr">
        <is>
          <t>Legal Counsel &amp; Legislation</t>
        </is>
      </c>
      <c r="D15" t="inlineStr">
        <is>
          <t>Legal Counsel</t>
        </is>
      </c>
      <c r="E15" t="inlineStr">
        <is>
          <t>Shared Drive</t>
        </is>
      </c>
      <c r="F15" t="inlineStr">
        <is>
          <t>Adv. Shira Ben-Zvi</t>
        </is>
      </c>
      <c r="G15" t="n">
        <v>2011</v>
      </c>
      <c r="H15" t="inlineStr">
        <is>
          <t>Windows File Server</t>
        </is>
      </c>
      <c r="I15" t="inlineStr">
        <is>
          <t>Low</t>
        </is>
      </c>
      <c r="J15" t="n">
        <v>95000</v>
      </c>
      <c r="K15" t="inlineStr">
        <is>
          <t>No</t>
        </is>
      </c>
      <c r="L15" t="inlineStr">
        <is>
          <t>Yes</t>
        </is>
      </c>
    </row>
    <row r="16">
      <c r="A16" s="7" t="inlineStr">
        <is>
          <t>S-112</t>
        </is>
      </c>
      <c r="B16" s="7" t="inlineStr">
        <is>
          <t>Legislative Drafting Tracker</t>
        </is>
      </c>
      <c r="C16" s="7" t="inlineStr">
        <is>
          <t>Legal Counsel &amp; Legislation</t>
        </is>
      </c>
      <c r="D16" s="7" t="inlineStr">
        <is>
          <t>Legislation</t>
        </is>
      </c>
      <c r="E16" s="7" t="inlineStr">
        <is>
          <t>Spreadsheet-Based</t>
        </is>
      </c>
      <c r="F16" s="7" t="inlineStr">
        <is>
          <t>Adv. Ronen Katz</t>
        </is>
      </c>
      <c r="G16" s="7" t="n"/>
      <c r="H16" s="7" t="inlineStr">
        <is>
          <t>Excel / SharePoint</t>
        </is>
      </c>
      <c r="I16" s="7" t="inlineStr">
        <is>
          <t>Low</t>
        </is>
      </c>
      <c r="J16" s="7" t="n">
        <v>40000</v>
      </c>
      <c r="K16" s="7" t="inlineStr">
        <is>
          <t>No</t>
        </is>
      </c>
      <c r="L16" s="7" t="inlineStr">
        <is>
          <t>Yes</t>
        </is>
      </c>
    </row>
    <row r="17">
      <c r="A17" t="inlineStr">
        <is>
          <t>S-113</t>
        </is>
      </c>
      <c r="B17" t="inlineStr">
        <is>
          <t>Ministry Intranet Portal</t>
        </is>
      </c>
      <c r="C17" t="inlineStr">
        <is>
          <t>Shared Services</t>
        </is>
      </c>
      <c r="D17" t="inlineStr">
        <is>
          <t>IT / Shared Services</t>
        </is>
      </c>
      <c r="E17" t="inlineStr">
        <is>
          <t>Web Application</t>
        </is>
      </c>
      <c r="F17" t="inlineStr">
        <is>
          <t>Noa Kramer</t>
        </is>
      </c>
      <c r="G17" t="n">
        <v>2020</v>
      </c>
      <c r="H17" t="inlineStr">
        <is>
          <t>SharePoint Online</t>
        </is>
      </c>
      <c r="I17" t="inlineStr">
        <is>
          <t>Medium</t>
        </is>
      </c>
      <c r="J17" t="n">
        <v>220000</v>
      </c>
      <c r="K17" t="inlineStr">
        <is>
          <t>No</t>
        </is>
      </c>
      <c r="L17" t="inlineStr">
        <is>
          <t>No</t>
        </is>
      </c>
    </row>
    <row r="18">
      <c r="A18" s="7" t="inlineStr">
        <is>
          <t>S-114</t>
        </is>
      </c>
      <c r="B18" s="7" t="inlineStr">
        <is>
          <t>Identity &amp; Access Management (Gov Layer)</t>
        </is>
      </c>
      <c r="C18" s="7" t="inlineStr">
        <is>
          <t>Shared Services</t>
        </is>
      </c>
      <c r="D18" s="7" t="inlineStr">
        <is>
          <t>IT / Shared Services</t>
        </is>
      </c>
      <c r="E18" s="7" t="inlineStr">
        <is>
          <t>Cloud Service</t>
        </is>
      </c>
      <c r="F18" s="7" t="inlineStr">
        <is>
          <t>Noa Kramer</t>
        </is>
      </c>
      <c r="G18" s="7" t="n">
        <v>2022</v>
      </c>
      <c r="H18" s="7" t="inlineStr">
        <is>
          <t>Azure AD / Gov Cloud</t>
        </is>
      </c>
      <c r="I18" s="7" t="inlineStr">
        <is>
          <t>High</t>
        </is>
      </c>
      <c r="J18" s="7" t="n">
        <v>310000</v>
      </c>
      <c r="K18" s="7" t="inlineStr">
        <is>
          <t>No</t>
        </is>
      </c>
      <c r="L18" s="7" t="inlineStr">
        <is>
          <t>No</t>
        </is>
      </c>
    </row>
    <row r="19">
      <c r="A19" t="inlineStr">
        <is>
          <t>S-115</t>
        </is>
      </c>
      <c r="B19" t="inlineStr">
        <is>
          <t>Case Document Scanning Center</t>
        </is>
      </c>
      <c r="C19" t="inlineStr">
        <is>
          <t>Courts Administration</t>
        </is>
      </c>
      <c r="D19" t="inlineStr">
        <is>
          <t>Civil Docket</t>
        </is>
      </c>
      <c r="E19" t="inlineStr">
        <is>
          <t>Manual Process</t>
        </is>
      </c>
      <c r="F19" t="inlineStr">
        <is>
          <t>Michal Sror</t>
        </is>
      </c>
      <c r="H19" t="inlineStr">
        <is>
          <t>Scanning + Manual Indexing</t>
        </is>
      </c>
      <c r="I19" t="inlineStr">
        <is>
          <t>None</t>
        </is>
      </c>
      <c r="J19" t="n">
        <v>175000</v>
      </c>
      <c r="K19" t="inlineStr">
        <is>
          <t>No</t>
        </is>
      </c>
      <c r="L19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8" customWidth="1" min="3" max="3"/>
    <col width="16" customWidth="1" min="4" max="4"/>
    <col width="14" customWidth="1" min="5" max="5"/>
    <col width="16" customWidth="1" min="6" max="6"/>
    <col width="16" customWidth="1" min="7" max="7"/>
    <col width="12" customWidth="1" min="8" max="8"/>
  </cols>
  <sheetData>
    <row r="1">
      <c r="A1" s="5" t="inlineStr">
        <is>
          <t>Digital Maturity Scorecard by Directorate</t>
        </is>
      </c>
    </row>
    <row r="2">
      <c r="A2" s="4" t="inlineStr">
        <is>
          <t>Scored 1 (paper-based) to 5 (fully digital, API-integrated) across five dimensions — fictional sample data</t>
        </is>
      </c>
    </row>
    <row r="4">
      <c r="A4" s="6" t="inlineStr">
        <is>
          <t>Directorate</t>
        </is>
      </c>
      <c r="B4" s="6" t="inlineStr">
        <is>
          <t>Process Digitization</t>
        </is>
      </c>
      <c r="C4" s="6" t="inlineStr">
        <is>
          <t>System Interoperability</t>
        </is>
      </c>
      <c r="D4" s="6" t="inlineStr">
        <is>
          <t>Citizen Self-Service</t>
        </is>
      </c>
      <c r="E4" s="6" t="inlineStr">
        <is>
          <t>Data Quality</t>
        </is>
      </c>
      <c r="F4" s="6" t="inlineStr">
        <is>
          <t>Cybersecurity Posture</t>
        </is>
      </c>
      <c r="G4" s="6" t="inlineStr">
        <is>
          <t>Overall Maturity Score</t>
        </is>
      </c>
      <c r="H4" s="6" t="inlineStr">
        <is>
          <t>Rating</t>
        </is>
      </c>
    </row>
    <row r="5">
      <c r="A5" t="inlineStr">
        <is>
          <t>Courts Administration</t>
        </is>
      </c>
      <c r="B5" t="n">
        <v>2</v>
      </c>
      <c r="C5" t="n">
        <v>2</v>
      </c>
      <c r="D5" t="n">
        <v>3</v>
      </c>
      <c r="E5" t="n">
        <v>2</v>
      </c>
      <c r="F5" t="n">
        <v>3</v>
      </c>
      <c r="G5" s="8">
        <f>AVERAGE(B5:F5)</f>
        <v/>
      </c>
      <c r="H5">
        <f>IF(G5&lt;2,"Nascent",IF(G5&lt;3,"Emerging",IF(G5&lt;4,"Developing","Advanced")))</f>
        <v/>
      </c>
    </row>
    <row r="6">
      <c r="A6" t="inlineStr">
        <is>
          <t>Land Registry (Tabu)</t>
        </is>
      </c>
      <c r="B6" t="n">
        <v>1</v>
      </c>
      <c r="C6" t="n">
        <v>2</v>
      </c>
      <c r="D6" t="n">
        <v>3</v>
      </c>
      <c r="E6" t="n">
        <v>2</v>
      </c>
      <c r="F6" t="n">
        <v>3</v>
      </c>
      <c r="G6" s="8">
        <f>AVERAGE(B6:F6)</f>
        <v/>
      </c>
      <c r="H6">
        <f>IF(G6&lt;2,"Nascent",IF(G6&lt;3,"Emerging",IF(G6&lt;4,"Developing","Advanced")))</f>
        <v/>
      </c>
    </row>
    <row r="7">
      <c r="A7" t="inlineStr">
        <is>
          <t>Enforcement &amp; Collections</t>
        </is>
      </c>
      <c r="B7" t="n">
        <v>2</v>
      </c>
      <c r="C7" t="n">
        <v>1</v>
      </c>
      <c r="D7" t="n">
        <v>2</v>
      </c>
      <c r="E7" t="n">
        <v>2</v>
      </c>
      <c r="F7" t="n">
        <v>2</v>
      </c>
      <c r="G7" s="8">
        <f>AVERAGE(B7:F7)</f>
        <v/>
      </c>
      <c r="H7">
        <f>IF(G7&lt;2,"Nascent",IF(G7&lt;3,"Emerging",IF(G7&lt;4,"Developing","Advanced")))</f>
        <v/>
      </c>
    </row>
    <row r="8">
      <c r="A8" t="inlineStr">
        <is>
          <t>Legal Counsel &amp; Legislation</t>
        </is>
      </c>
      <c r="B8" t="n">
        <v>1</v>
      </c>
      <c r="C8" t="n">
        <v>1</v>
      </c>
      <c r="D8" t="n">
        <v>1</v>
      </c>
      <c r="E8" t="n">
        <v>2</v>
      </c>
      <c r="F8" t="n">
        <v>3</v>
      </c>
      <c r="G8" s="8">
        <f>AVERAGE(B8:F8)</f>
        <v/>
      </c>
      <c r="H8">
        <f>IF(G8&lt;2,"Nascent",IF(G8&lt;3,"Emerging",IF(G8&lt;4,"Developing","Advanced")))</f>
        <v/>
      </c>
    </row>
    <row r="9">
      <c r="A9" t="inlineStr">
        <is>
          <t>Shared Services (IT)</t>
        </is>
      </c>
      <c r="B9" t="n">
        <v>3</v>
      </c>
      <c r="C9" t="n">
        <v>3</v>
      </c>
      <c r="D9" t="n">
        <v>2</v>
      </c>
      <c r="E9" t="n">
        <v>3</v>
      </c>
      <c r="F9" t="n">
        <v>4</v>
      </c>
      <c r="G9" s="8">
        <f>AVERAGE(B9:F9)</f>
        <v/>
      </c>
      <c r="H9">
        <f>IF(G9&lt;2,"Nascent",IF(G9&lt;3,"Emerging",IF(G9&lt;4,"Developing","Advanced")))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2" customWidth="1" min="2" max="2"/>
    <col width="14" customWidth="1" min="3" max="3"/>
    <col width="22" customWidth="1" min="4" max="4"/>
    <col width="22" customWidth="1" min="5" max="5"/>
  </cols>
  <sheetData>
    <row r="1">
      <c r="A1" s="5" t="inlineStr">
        <is>
          <t>Manual / Paper-Based Process Flags</t>
        </is>
      </c>
    </row>
    <row r="2">
      <c r="A2" s="4" t="inlineStr">
        <is>
          <t>Flags processes with a wet-ink signature or in-person requirement as digitization candidates</t>
        </is>
      </c>
    </row>
    <row r="4">
      <c r="A4" s="9" t="inlineStr">
        <is>
          <t>System / Process Name</t>
        </is>
      </c>
      <c r="B4" s="9" t="inlineStr">
        <is>
          <t>Directorate</t>
        </is>
      </c>
      <c r="C4" s="9" t="inlineStr">
        <is>
          <t>Citizen-Facing</t>
        </is>
      </c>
      <c r="D4" s="9" t="inlineStr">
        <is>
          <t>Paper/Manual Step Present</t>
        </is>
      </c>
      <c r="E4" s="9" t="inlineStr">
        <is>
          <t>Flag</t>
        </is>
      </c>
    </row>
    <row r="5">
      <c r="A5" t="inlineStr">
        <is>
          <t>Net HaMishpat (Civil Case Management)</t>
        </is>
      </c>
      <c r="B5" t="inlineStr">
        <is>
          <t>Courts Administration</t>
        </is>
      </c>
      <c r="C5" t="inlineStr">
        <is>
          <t>Yes</t>
        </is>
      </c>
      <c r="D5" t="inlineStr">
        <is>
          <t>Yes</t>
        </is>
      </c>
      <c r="E5">
        <f>IF(D5="Yes","Digitization Candidate","")</f>
        <v/>
      </c>
    </row>
    <row r="6">
      <c r="A6" t="inlineStr">
        <is>
          <t>Criminal Docket System</t>
        </is>
      </c>
      <c r="B6" t="inlineStr">
        <is>
          <t>Courts Administration</t>
        </is>
      </c>
      <c r="C6" t="inlineStr">
        <is>
          <t>No</t>
        </is>
      </c>
      <c r="D6" t="inlineStr">
        <is>
          <t>Yes</t>
        </is>
      </c>
      <c r="E6">
        <f>IF(D6="Yes","Digitization Candidate","")</f>
        <v/>
      </c>
    </row>
    <row r="7">
      <c r="A7" t="inlineStr">
        <is>
          <t>Court Scheduling Portal</t>
        </is>
      </c>
      <c r="B7" t="inlineStr">
        <is>
          <t>Courts Administration</t>
        </is>
      </c>
      <c r="C7" t="inlineStr">
        <is>
          <t>Yes</t>
        </is>
      </c>
      <c r="D7" t="inlineStr">
        <is>
          <t>No</t>
        </is>
      </c>
      <c r="E7">
        <f>IF(D7="Yes","Digitization Candidate","")</f>
        <v/>
      </c>
    </row>
    <row r="8">
      <c r="A8" t="inlineStr">
        <is>
          <t>E-Filing Citizen Portal</t>
        </is>
      </c>
      <c r="B8" t="inlineStr">
        <is>
          <t>Courts Administration</t>
        </is>
      </c>
      <c r="C8" t="inlineStr">
        <is>
          <t>Yes</t>
        </is>
      </c>
      <c r="D8" t="inlineStr">
        <is>
          <t>No</t>
        </is>
      </c>
      <c r="E8">
        <f>IF(D8="Yes","Digitization Candidate","")</f>
        <v/>
      </c>
    </row>
    <row r="9">
      <c r="A9" t="inlineStr">
        <is>
          <t>Tabu Land Registry Core</t>
        </is>
      </c>
      <c r="B9" t="inlineStr">
        <is>
          <t>Land Registry (Tabu)</t>
        </is>
      </c>
      <c r="C9" t="inlineStr">
        <is>
          <t>Yes</t>
        </is>
      </c>
      <c r="D9" t="inlineStr">
        <is>
          <t>Yes</t>
        </is>
      </c>
      <c r="E9">
        <f>IF(D9="Yes","Digitization Candidate","")</f>
        <v/>
      </c>
    </row>
    <row r="10">
      <c r="A10" t="inlineStr">
        <is>
          <t>Land Registry Document Archive</t>
        </is>
      </c>
      <c r="B10" t="inlineStr">
        <is>
          <t>Land Registry (Tabu)</t>
        </is>
      </c>
      <c r="C10" t="inlineStr">
        <is>
          <t>No</t>
        </is>
      </c>
      <c r="D10" t="inlineStr">
        <is>
          <t>Yes</t>
        </is>
      </c>
      <c r="E10">
        <f>IF(D10="Yes","Digitization Candidate","")</f>
        <v/>
      </c>
    </row>
    <row r="11">
      <c r="A11" t="inlineStr">
        <is>
          <t>Tabu Extract Request Service</t>
        </is>
      </c>
      <c r="B11" t="inlineStr">
        <is>
          <t>Land Registry (Tabu)</t>
        </is>
      </c>
      <c r="C11" t="inlineStr">
        <is>
          <t>Yes</t>
        </is>
      </c>
      <c r="D11" t="inlineStr">
        <is>
          <t>No</t>
        </is>
      </c>
      <c r="E11">
        <f>IF(D11="Yes","Digitization Candidate","")</f>
        <v/>
      </c>
    </row>
    <row r="12">
      <c r="A12" t="inlineStr">
        <is>
          <t>Hotza'ah LaPoal Case Tracker</t>
        </is>
      </c>
      <c r="B12" t="inlineStr">
        <is>
          <t>Enforcement &amp; Collections</t>
        </is>
      </c>
      <c r="C12" t="inlineStr">
        <is>
          <t>No</t>
        </is>
      </c>
      <c r="D12" t="inlineStr">
        <is>
          <t>Yes</t>
        </is>
      </c>
      <c r="E12">
        <f>IF(D12="Yes","Digitization Candidate","")</f>
        <v/>
      </c>
    </row>
    <row r="13">
      <c r="A13" t="inlineStr">
        <is>
          <t>Debtor Payment Portal</t>
        </is>
      </c>
      <c r="B13" t="inlineStr">
        <is>
          <t>Enforcement &amp; Collections</t>
        </is>
      </c>
      <c r="C13" t="inlineStr">
        <is>
          <t>Yes</t>
        </is>
      </c>
      <c r="D13" t="inlineStr">
        <is>
          <t>No</t>
        </is>
      </c>
      <c r="E13">
        <f>IF(D13="Yes","Digitization Candidate","")</f>
        <v/>
      </c>
    </row>
    <row r="14">
      <c r="A14" t="inlineStr">
        <is>
          <t>Bailiff Field Operations App</t>
        </is>
      </c>
      <c r="B14" t="inlineStr">
        <is>
          <t>Enforcement &amp; Collections</t>
        </is>
      </c>
      <c r="C14" t="inlineStr">
        <is>
          <t>No</t>
        </is>
      </c>
      <c r="D14" t="inlineStr">
        <is>
          <t>Yes</t>
        </is>
      </c>
      <c r="E14">
        <f>IF(D14="Yes","Digitization Candidate","")</f>
        <v/>
      </c>
    </row>
    <row r="15">
      <c r="A15" t="inlineStr">
        <is>
          <t>Legal Opinion Repository</t>
        </is>
      </c>
      <c r="B15" t="inlineStr">
        <is>
          <t>Legal Counsel &amp; Legislation</t>
        </is>
      </c>
      <c r="C15" t="inlineStr">
        <is>
          <t>No</t>
        </is>
      </c>
      <c r="D15" t="inlineStr">
        <is>
          <t>Yes</t>
        </is>
      </c>
      <c r="E15">
        <f>IF(D15="Yes","Digitization Candidate","")</f>
        <v/>
      </c>
    </row>
    <row r="16">
      <c r="A16" t="inlineStr">
        <is>
          <t>Legislative Drafting Tracker</t>
        </is>
      </c>
      <c r="B16" t="inlineStr">
        <is>
          <t>Legal Counsel &amp; Legislation</t>
        </is>
      </c>
      <c r="C16" t="inlineStr">
        <is>
          <t>No</t>
        </is>
      </c>
      <c r="D16" t="inlineStr">
        <is>
          <t>Yes</t>
        </is>
      </c>
      <c r="E16">
        <f>IF(D16="Yes","Digitization Candidate","")</f>
        <v/>
      </c>
    </row>
    <row r="17">
      <c r="A17" t="inlineStr">
        <is>
          <t>Ministry Intranet Portal</t>
        </is>
      </c>
      <c r="B17" t="inlineStr">
        <is>
          <t>Shared Services</t>
        </is>
      </c>
      <c r="C17" t="inlineStr">
        <is>
          <t>No</t>
        </is>
      </c>
      <c r="D17" t="inlineStr">
        <is>
          <t>No</t>
        </is>
      </c>
      <c r="E17">
        <f>IF(D17="Yes","Digitization Candidate","")</f>
        <v/>
      </c>
    </row>
    <row r="18">
      <c r="A18" t="inlineStr">
        <is>
          <t>Identity &amp; Access Management (Gov Layer)</t>
        </is>
      </c>
      <c r="B18" t="inlineStr">
        <is>
          <t>Shared Services</t>
        </is>
      </c>
      <c r="C18" t="inlineStr">
        <is>
          <t>No</t>
        </is>
      </c>
      <c r="D18" t="inlineStr">
        <is>
          <t>No</t>
        </is>
      </c>
      <c r="E18">
        <f>IF(D18="Yes","Digitization Candidate","")</f>
        <v/>
      </c>
    </row>
    <row r="19">
      <c r="A19" t="inlineStr">
        <is>
          <t>Case Document Scanning Center</t>
        </is>
      </c>
      <c r="B19" t="inlineStr">
        <is>
          <t>Courts Administration</t>
        </is>
      </c>
      <c r="C19" t="inlineStr">
        <is>
          <t>No</t>
        </is>
      </c>
      <c r="D19" t="inlineStr">
        <is>
          <t>Yes</t>
        </is>
      </c>
      <c r="E19">
        <f>IF(D19="Yes","Digitization Candidate","")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0" workbookViewId="0">
      <selection activeCell="A1" sqref="A1"/>
    </sheetView>
  </sheetViews>
  <sheetFormatPr baseColWidth="8" defaultRowHeight="15"/>
  <cols>
    <col width="48" customWidth="1" min="1" max="1"/>
    <col width="40" customWidth="1" min="2" max="2"/>
  </cols>
  <sheetData>
    <row r="1">
      <c r="A1" s="5" t="inlineStr">
        <is>
          <t>Technology Investment Cost Summary</t>
        </is>
      </c>
    </row>
    <row r="2">
      <c r="A2" s="4" t="inlineStr">
        <is>
          <t>Assumption (highlighted): cloud migration cost loading factor applied to legacy system replacement — confirm with Government ICT Authority</t>
        </is>
      </c>
    </row>
    <row r="4">
      <c r="A4" s="10" t="inlineStr">
        <is>
          <t>Total Systems in Inventory</t>
        </is>
      </c>
      <c r="B4">
        <f>COUNTA('Current Systems Inventory'!A5:A19)</f>
        <v/>
      </c>
    </row>
    <row r="5">
      <c r="A5" s="10" t="inlineStr">
        <is>
          <t>Total Annual Maintenance Cost (ILS)</t>
        </is>
      </c>
      <c r="B5">
        <f>SUM('Current Systems Inventory'!J5:J19)</f>
        <v/>
      </c>
    </row>
    <row r="6">
      <c r="A6" s="10" t="inlineStr">
        <is>
          <t>Legacy Mainframe Systems Count</t>
        </is>
      </c>
      <c r="B6">
        <f>COUNTIF('Current Systems Inventory'!E5:E19,"Legacy Mainframe")</f>
        <v/>
      </c>
    </row>
    <row r="7">
      <c r="A7" s="10" t="inlineStr">
        <is>
          <t>Manual/Paper-Based Processes Count</t>
        </is>
      </c>
      <c r="B7">
        <f>COUNTIF('Current Systems Inventory'!I5:I19,"None")</f>
        <v/>
      </c>
    </row>
    <row r="8">
      <c r="A8" s="10" t="inlineStr">
        <is>
          <t>Cloud Migration Cost Loading Factor</t>
        </is>
      </c>
      <c r="B8" s="11" t="n">
        <v>0.35</v>
      </c>
    </row>
    <row r="9">
      <c r="A9" s="10" t="inlineStr">
        <is>
          <t>Estimated Annual Savings if Legacy Mainframes Retired (illustrative)</t>
        </is>
      </c>
      <c r="B9" t="inlineStr">
        <is>
          <t>See 'Roadmap Scenarios' workbook for modeled scenarios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2026-08-25T10:38:33Z</dcterms:created>
  <dcterms:modified xmlns:dcterms="http://purl.org/dc/terms/" xmlns:xsi="http://www.w3.org/2001/XMLSchema-instance" xsi:type="dcterms:W3CDTF">2026-08-25T10:38:33Z</dcterms:modified>
</cp:coreProperties>
</file>