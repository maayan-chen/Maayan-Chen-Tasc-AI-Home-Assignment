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2A4A"/>
      <sz val="13"/>
    </font>
    <font>
      <i val="1"/>
      <color rgb="00777777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30" customWidth="1" min="3" max="3"/>
    <col width="34" customWidth="1" min="4" max="4"/>
    <col width="46" customWidth="1" min="5" max="5"/>
  </cols>
  <sheetData>
    <row r="1">
      <c r="A1" s="1" t="inlineStr">
        <is>
          <t>Ministry of Justice — Digital Transformation Roadmap Scenario Comparison</t>
        </is>
      </c>
    </row>
    <row r="2">
      <c r="A2" s="2" t="inlineStr">
        <is>
          <t>Confidential — Draft for Steering Committee Discussion — August 2026</t>
        </is>
      </c>
    </row>
    <row r="3">
      <c r="A3" s="2" t="inlineStr">
        <is>
          <t>Fictional placeholder figures for project simulation purposes</t>
        </is>
      </c>
    </row>
    <row r="5">
      <c r="A5" s="3" t="inlineStr">
        <is>
          <t>Metric</t>
        </is>
      </c>
      <c r="B5" s="3" t="inlineStr">
        <is>
          <t>Scenario A: Baseline (No Change)</t>
        </is>
      </c>
      <c r="C5" s="3" t="inlineStr">
        <is>
          <t>Scenario B: Phased Modernization</t>
        </is>
      </c>
      <c r="D5" s="3" t="inlineStr">
        <is>
          <t>Scenario C: Accelerated Cloud-First Transformation</t>
        </is>
      </c>
      <c r="E5" s="3" t="inlineStr">
        <is>
          <t>Notes / Assumptions</t>
        </is>
      </c>
    </row>
    <row r="6">
      <c r="A6" s="4" t="inlineStr">
        <is>
          <t>Legacy Systems Retired</t>
        </is>
      </c>
      <c r="B6" s="4" t="n">
        <v>0</v>
      </c>
      <c r="C6" s="4" t="n">
        <v>3</v>
      </c>
      <c r="D6" s="4" t="n">
        <v>6</v>
      </c>
      <c r="E6" s="4" t="inlineStr">
        <is>
          <t>Scenario B retires Case Docket + Land Registry mainframes; Scenario C also retires Enforcement case tracker and moves to full cloud stack</t>
        </is>
      </c>
    </row>
    <row r="7">
      <c r="A7" s="4" t="inlineStr">
        <is>
          <t>Citizen Services Fully Digitized (of 12)</t>
        </is>
      </c>
      <c r="B7" s="4" t="n">
        <v>0</v>
      </c>
      <c r="C7" s="4" t="n">
        <v>7</v>
      </c>
      <c r="D7" s="4" t="n">
        <v>12</v>
      </c>
      <c r="E7" s="4" t="inlineStr">
        <is>
          <t>Includes e-filing, e-signature-enabled requests, and self-service Tabu extracts</t>
        </is>
      </c>
    </row>
    <row r="8">
      <c r="A8" s="4" t="inlineStr">
        <is>
          <t>Avg. Digital Maturity Score (of 5)</t>
        </is>
      </c>
      <c r="B8" s="4" t="n">
        <v>1.9</v>
      </c>
      <c r="C8" s="4" t="n">
        <v>3.1</v>
      </c>
      <c r="D8" s="4" t="n">
        <v>4</v>
      </c>
      <c r="E8" s="4" t="inlineStr">
        <is>
          <t>Blended score across the five directorates in scope</t>
        </is>
      </c>
    </row>
    <row r="9">
      <c r="A9" s="4" t="inlineStr">
        <is>
          <t>Total Implementation Cost (ILS)</t>
        </is>
      </c>
      <c r="B9" s="4" t="n">
        <v>0</v>
      </c>
      <c r="C9" s="4" t="n">
        <v>18500000</v>
      </c>
      <c r="D9" s="4" t="n">
        <v>34000000</v>
      </c>
      <c r="E9" s="4" t="inlineStr">
        <is>
          <t>Formula-driven, see below</t>
        </is>
      </c>
    </row>
    <row r="10">
      <c r="A10" s="4" t="inlineStr">
        <is>
          <t>Cloud Migration Cost Loading Factor</t>
        </is>
      </c>
      <c r="B10" s="4" t="n">
        <v>0.35</v>
      </c>
      <c r="C10" s="4" t="n">
        <v>0.35</v>
      </c>
      <c r="D10" s="4" t="n">
        <v>0.35</v>
      </c>
      <c r="E10" s="4" t="inlineStr">
        <is>
          <t>Consistent with 'Systems Inventory' workbook assumption</t>
        </is>
      </c>
    </row>
    <row r="11">
      <c r="A11" s="4" t="inlineStr">
        <is>
          <t>Total Fully-Loaded Program Cost (ILS)</t>
        </is>
      </c>
      <c r="B11" s="4">
        <f>B9*(1+B10)</f>
        <v/>
      </c>
      <c r="C11" s="4">
        <f>C9*(1+C10)</f>
        <v/>
      </c>
      <c r="D11" s="4">
        <f>D9*(1+D10)</f>
        <v/>
      </c>
      <c r="E11" s="4" t="inlineStr">
        <is>
          <t>Formula-driven, see below</t>
        </is>
      </c>
    </row>
    <row r="12">
      <c r="A12" s="4" t="inlineStr">
        <is>
          <t>Annual Legacy Maintenance Cost Avoided (ILS)</t>
        </is>
      </c>
      <c r="B12" s="4" t="n">
        <v>0</v>
      </c>
      <c r="C12" s="4" t="n">
        <v>2800000</v>
      </c>
      <c r="D12" s="4" t="n">
        <v>5200000</v>
      </c>
      <c r="E12" s="4" t="inlineStr">
        <is>
          <t>Estimated at 3 months salary + statutory per departing employee (placeholder — for staff redeployment support only)</t>
        </is>
      </c>
    </row>
    <row r="13">
      <c r="A13" s="4" t="inlineStr">
        <is>
          <t>Estimated Annual Efficiency Savings (ILS)</t>
        </is>
      </c>
      <c r="B13" s="4">
        <f>B12</f>
        <v/>
      </c>
      <c r="C13" s="4">
        <f>C12</f>
        <v/>
      </c>
      <c r="D13" s="4">
        <f>D12</f>
        <v/>
      </c>
      <c r="E13" s="4" t="inlineStr">
        <is>
          <t>Formula-driven, see below</t>
        </is>
      </c>
    </row>
    <row r="14">
      <c r="A14" s="4" t="inlineStr">
        <is>
          <t>Payback Period (Years)</t>
        </is>
      </c>
      <c r="B14" s="4">
        <f>IF(B13=0,"n/a",B11/B13)</f>
        <v/>
      </c>
      <c r="C14" s="4">
        <f>IF(C13=0,"n/a",C11/C13)</f>
        <v/>
      </c>
      <c r="D14" s="4">
        <f>IF(D13=0,"n/a",D11/D13)</f>
        <v/>
      </c>
      <c r="E14" s="4" t="inlineStr">
        <is>
          <t>Formula-driven: Program Cost / (Savings)</t>
        </is>
      </c>
    </row>
    <row r="15">
      <c r="A15" s="4" t="inlineStr">
        <is>
          <t>Citizen Wait-Time Reduction (Avg.)</t>
        </is>
      </c>
      <c r="B15" s="4" t="inlineStr">
        <is>
          <t>0%</t>
        </is>
      </c>
      <c r="C15" s="4" t="inlineStr">
        <is>
          <t>35%</t>
        </is>
      </c>
      <c r="D15" s="4" t="inlineStr">
        <is>
          <t>60%</t>
        </is>
      </c>
      <c r="E15" s="4" t="inlineStr">
        <is>
          <t>Based on comparable e-government transformation benchmarks (placeholder)</t>
        </is>
      </c>
    </row>
    <row r="16">
      <c r="A16" s="4" t="inlineStr">
        <is>
          <t>Cybersecurity / Data Risk</t>
        </is>
      </c>
      <c r="B16" s="4" t="inlineStr">
        <is>
          <t>High (legacy exposure)</t>
        </is>
      </c>
      <c r="C16" s="4" t="inlineStr">
        <is>
          <t>Medium</t>
        </is>
      </c>
      <c r="D16" s="4" t="inlineStr">
        <is>
          <t>Low</t>
        </is>
      </c>
      <c r="E16" s="4" t="inlineStr">
        <is>
          <t>Qualitative assessment — see Steering Committee deck for detail</t>
        </is>
      </c>
    </row>
    <row r="17">
      <c r="A17" s="4" t="inlineStr">
        <is>
          <t>Implementation Timeline (Months)</t>
        </is>
      </c>
      <c r="B17" s="4" t="n">
        <v>0</v>
      </c>
      <c r="C17" s="4" t="n">
        <v>14</v>
      </c>
      <c r="D17" s="4" t="n">
        <v>22</v>
      </c>
      <c r="E17" s="4" t="inlineStr">
        <is>
          <t>Includes vendor procurement, pilot rollout, and phased regional court deployment</t>
        </is>
      </c>
    </row>
    <row r="18">
      <c r="A18" s="4" t="n"/>
      <c r="B18" s="4" t="n"/>
      <c r="C18" s="4" t="n"/>
      <c r="D18" s="4" t="n"/>
      <c r="E18" s="4" t="n"/>
    </row>
    <row r="19">
      <c r="A19" s="5" t="inlineStr">
        <is>
          <t>Recommended Scenario</t>
        </is>
      </c>
      <c r="B19" s="4" t="n"/>
      <c r="C19" s="4" t="inlineStr">
        <is>
          <t>Scenario B — Phased Modernization</t>
        </is>
      </c>
      <c r="D19" s="4" t="n"/>
      <c r="E19" s="4" t="n"/>
    </row>
    <row r="20">
      <c r="A20" s="5" t="inlineStr">
        <is>
          <t>Rationale:</t>
        </is>
      </c>
      <c r="B20" s="4" t="inlineStr">
        <is>
          <t>Best balance of citizen service improvement (~35% wait-time reduction) against implementation risk, procurement complexity, and budget cycle constraints. Scenario C's incremental gains do not justify the added program cost and multi-year disruption to court operations within the current planning horizon.</t>
        </is>
      </c>
      <c r="C20" s="4" t="n"/>
      <c r="D20" s="4" t="n"/>
      <c r="E2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2026-08-25T10:39:00Z</dcterms:created>
  <dcterms:modified xmlns:dcterms="http://purl.org/dc/terms/" xmlns:xsi="http://www.w3.org/2001/XMLSchema-instance" xsi:type="dcterms:W3CDTF">2026-08-25T10:39:00Z</dcterms:modified>
</cp:coreProperties>
</file>