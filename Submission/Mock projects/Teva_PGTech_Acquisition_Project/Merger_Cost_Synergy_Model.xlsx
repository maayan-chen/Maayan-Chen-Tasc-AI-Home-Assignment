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erg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i val="1"/>
      <sz val="10"/>
    </font>
    <font>
      <b val="1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0" fontId="5" fillId="0" borderId="2" pivotButton="0" quotePrefix="0" xfId="0"/>
    <xf numFmtId="0" fontId="6" fillId="3" borderId="2" pivotButton="0" quotePrefix="0" xfId="0"/>
    <xf numFmtId="3" fontId="4" fillId="3" borderId="2" pivotButton="0" quotePrefix="0" xfId="0"/>
    <xf numFmtId="0" fontId="5" fillId="3" borderId="2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6" customWidth="1" min="4" max="4"/>
    <col width="48" customWidth="1" min="5" max="5"/>
  </cols>
  <sheetData>
    <row r="1">
      <c r="A1" s="1" t="inlineStr">
        <is>
          <t>Teva–PGTech Merger Cost &amp; Synergy Model</t>
        </is>
      </c>
    </row>
    <row r="2">
      <c r="A2" s="2" t="inlineStr">
        <is>
          <t>Confidential — Draft for Steering Committee Discussion — August 2026</t>
        </is>
      </c>
    </row>
    <row r="3">
      <c r="A3" s="2" t="inlineStr">
        <is>
          <t>Fictional placeholder figures for project simulation purposes. All amounts in USD thousands.</t>
        </is>
      </c>
    </row>
    <row r="5">
      <c r="A5" s="3" t="inlineStr">
        <is>
          <t>Synergy / Cost Category</t>
        </is>
      </c>
      <c r="B5" s="3" t="inlineStr">
        <is>
          <t>Year 1</t>
        </is>
      </c>
      <c r="C5" s="3" t="inlineStr">
        <is>
          <t>Year 2</t>
        </is>
      </c>
      <c r="D5" s="3" t="inlineStr">
        <is>
          <t>Year 3 (Run-Rate)</t>
        </is>
      </c>
      <c r="E5" s="3" t="inlineStr">
        <is>
          <t>Notes / Assumptions</t>
        </is>
      </c>
    </row>
    <row r="6">
      <c r="A6" s="4" t="inlineStr">
        <is>
          <t>Revenue Synergies — Cross-sell into Teva payer relationships</t>
        </is>
      </c>
      <c r="B6" s="5" t="n">
        <v>400</v>
      </c>
      <c r="C6" s="5" t="n">
        <v>1800</v>
      </c>
      <c r="D6" s="5" t="n">
        <v>3600</v>
      </c>
      <c r="E6" s="6" t="inlineStr">
        <is>
          <t>Bundling PGTech RPM platform with Teva chronic-disease portfolios</t>
        </is>
      </c>
    </row>
    <row r="7">
      <c r="A7" s="4" t="inlineStr">
        <is>
          <t>Cost Synergies — Shared cloud infrastructure</t>
        </is>
      </c>
      <c r="B7" s="5" t="n">
        <v>180</v>
      </c>
      <c r="C7" s="5" t="n">
        <v>420</v>
      </c>
      <c r="D7" s="5" t="n">
        <v>520</v>
      </c>
      <c r="E7" s="6" t="inlineStr">
        <is>
          <t>Migrate PGTech hosting onto Teva Digital Health AWS agreement</t>
        </is>
      </c>
    </row>
    <row r="8">
      <c r="A8" s="4" t="inlineStr">
        <is>
          <t>Cost Synergies — Duplicate G&amp;A elimination</t>
        </is>
      </c>
      <c r="B8" s="5" t="n">
        <v>260</v>
      </c>
      <c r="C8" s="5" t="n">
        <v>640</v>
      </c>
      <c r="D8" s="5" t="n">
        <v>640</v>
      </c>
      <c r="E8" s="6" t="inlineStr">
        <is>
          <t>Finance, legal, HR back-office consolidation post Month 6</t>
        </is>
      </c>
    </row>
    <row r="9">
      <c r="A9" s="7" t="inlineStr">
        <is>
          <t>Total Annual Synergies</t>
        </is>
      </c>
      <c r="B9" s="8">
        <f>B6+B7+B8</f>
        <v/>
      </c>
      <c r="C9" s="8">
        <f>C6+C7+C8</f>
        <v/>
      </c>
      <c r="D9" s="8">
        <f>D6+D7+D8</f>
        <v/>
      </c>
      <c r="E9" s="9" t="inlineStr">
        <is>
          <t>Formula-driven</t>
        </is>
      </c>
    </row>
    <row r="11">
      <c r="A11" s="4" t="inlineStr">
        <is>
          <t>One-Time Integration Costs — Systems &amp; IT migration</t>
        </is>
      </c>
      <c r="B11" s="5" t="n">
        <v>1200</v>
      </c>
      <c r="C11" s="5" t="n">
        <v>300</v>
      </c>
      <c r="D11" s="5" t="n">
        <v>0</v>
      </c>
      <c r="E11" s="6" t="inlineStr">
        <is>
          <t>ERP/CRM integration, data migration</t>
        </is>
      </c>
    </row>
    <row r="12">
      <c r="A12" s="4" t="inlineStr">
        <is>
          <t>One-Time Integration Costs — Retention &amp; severance</t>
        </is>
      </c>
      <c r="B12" s="5" t="n">
        <v>950</v>
      </c>
      <c r="C12" s="5" t="n">
        <v>0</v>
      </c>
      <c r="D12" s="5" t="n">
        <v>0</v>
      </c>
      <c r="E12" s="6" t="inlineStr">
        <is>
          <t>Key employee retention grants + limited redundancy costs</t>
        </is>
      </c>
    </row>
    <row r="13">
      <c r="A13" s="4" t="inlineStr">
        <is>
          <t>One-Time Integration Costs — Advisory &amp; legal fees</t>
        </is>
      </c>
      <c r="B13" s="5" t="n">
        <v>480</v>
      </c>
      <c r="C13" s="5" t="n">
        <v>0</v>
      </c>
      <c r="D13" s="5" t="n">
        <v>0</v>
      </c>
      <c r="E13" s="6" t="inlineStr">
        <is>
          <t>Meridian Strategy Partners + outside counsel</t>
        </is>
      </c>
    </row>
    <row r="14">
      <c r="A14" s="7" t="inlineStr">
        <is>
          <t>Total One-Time Integration Costs</t>
        </is>
      </c>
      <c r="B14" s="8">
        <f>B11+B12+B13</f>
        <v/>
      </c>
      <c r="C14" s="8">
        <f>C11+C12+C13</f>
        <v/>
      </c>
      <c r="D14" s="8">
        <f>D11+D12+D13</f>
        <v/>
      </c>
      <c r="E14" s="9" t="inlineStr">
        <is>
          <t>Formula-driven</t>
        </is>
      </c>
    </row>
    <row r="16">
      <c r="A16" s="7" t="inlineStr">
        <is>
          <t>Net Synergy Impact (Synergies less One-Time Costs)</t>
        </is>
      </c>
      <c r="B16" s="8">
        <f>B9-B14</f>
        <v/>
      </c>
      <c r="C16" s="8">
        <f>C9-C14</f>
        <v/>
      </c>
      <c r="D16" s="8">
        <f>D9-D14</f>
        <v/>
      </c>
      <c r="E16" s="9" t="inlineStr">
        <is>
          <t>Formula-driven</t>
        </is>
      </c>
    </row>
    <row r="18">
      <c r="A18" s="10" t="inlineStr">
        <is>
          <t>Payback Period Analysis:</t>
        </is>
      </c>
    </row>
    <row r="19">
      <c r="A19" s="11" t="inlineStr">
        <is>
          <t>Total One-Time Integration Costs (Year 1)</t>
        </is>
      </c>
      <c r="B19" s="12">
        <f>B14</f>
        <v/>
      </c>
    </row>
    <row r="20">
      <c r="A20" s="11" t="inlineStr">
        <is>
          <t>Estimated Monthly Run-Rate Synergy (Year 3 / 12)</t>
        </is>
      </c>
      <c r="B20" s="12">
        <f>D9/12</f>
        <v/>
      </c>
    </row>
    <row r="21">
      <c r="A21" s="11" t="inlineStr">
        <is>
          <t>Estimated Payback Period (Months)</t>
        </is>
      </c>
      <c r="B21" s="12">
        <f>B19/B20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2026-08-23T18:26:53Z</dcterms:created>
  <dcterms:modified xmlns:dcterms="http://purl.org/dc/terms/" xmlns:xsi="http://www.w3.org/2001/XMLSchema-instance" xsi:type="dcterms:W3CDTF">2026-08-23T18:26:53Z</dcterms:modified>
</cp:coreProperties>
</file>