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ention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i val="1"/>
      <color rgb="00595959"/>
      <sz val="9"/>
    </font>
    <font>
      <b val="1"/>
      <color rgb="00FFFFFF"/>
      <sz val="10"/>
    </font>
    <font>
      <sz val="10"/>
    </font>
    <font>
      <i val="1"/>
      <sz val="10"/>
    </font>
    <font>
      <b val="1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8CBAD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DCE6F1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2" pivotButton="0" quotePrefix="0" xfId="0"/>
    <xf numFmtId="164" fontId="4" fillId="0" borderId="2" pivotButton="0" quotePrefix="0" xfId="0"/>
    <xf numFmtId="0" fontId="4" fillId="3" borderId="2" pivotButton="0" quotePrefix="0" xfId="0"/>
    <xf numFmtId="0" fontId="5" fillId="0" borderId="2" pivotButton="0" quotePrefix="0" xfId="0"/>
    <xf numFmtId="0" fontId="4" fillId="4" borderId="2" pivotButton="0" quotePrefix="0" xfId="0"/>
    <xf numFmtId="0" fontId="4" fillId="5" borderId="2" pivotButton="0" quotePrefix="0" xfId="0"/>
    <xf numFmtId="0" fontId="6" fillId="6" borderId="0" pivotButton="0" quotePrefix="0" xfId="0"/>
    <xf numFmtId="0" fontId="0" fillId="6" borderId="0" pivotButton="0" quotePrefix="0" xfId="0"/>
    <xf numFmtId="164" fontId="6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18" customWidth="1" min="3" max="3"/>
    <col width="26" customWidth="1" min="4" max="4"/>
    <col width="26" customWidth="1" min="5" max="5"/>
    <col width="16" customWidth="1" min="6" max="6"/>
    <col width="46" customWidth="1" min="7" max="7"/>
  </cols>
  <sheetData>
    <row r="1">
      <c r="A1" s="1" t="inlineStr">
        <is>
          <t>PGTech Key Talent Retention Plan</t>
        </is>
      </c>
    </row>
    <row r="2">
      <c r="A2" s="2" t="inlineStr">
        <is>
          <t>Confidential — HR &amp; Legal Restricted — Prepared by Meridian Strategy Partners — September 2026</t>
        </is>
      </c>
    </row>
    <row r="3">
      <c r="A3" s="2" t="inlineStr">
        <is>
          <t>Fictional placeholder figures for project simulation purposes. Amounts in USD.</t>
        </is>
      </c>
    </row>
    <row r="5">
      <c r="A5" s="3" t="inlineStr">
        <is>
          <t>Name</t>
        </is>
      </c>
      <c r="B5" s="3" t="inlineStr">
        <is>
          <t>Role</t>
        </is>
      </c>
      <c r="C5" s="3" t="inlineStr">
        <is>
          <t>Retention Grant (Total)</t>
        </is>
      </c>
      <c r="D5" s="3" t="inlineStr">
        <is>
          <t>Vesting Schedule</t>
        </is>
      </c>
      <c r="E5" s="3" t="inlineStr">
        <is>
          <t>Trigger Conditions</t>
        </is>
      </c>
      <c r="F5" s="3" t="inlineStr">
        <is>
          <t>Retention Risk (Pre-Plan)</t>
        </is>
      </c>
      <c r="G5" s="3" t="inlineStr">
        <is>
          <t>Notes</t>
        </is>
      </c>
    </row>
    <row r="6">
      <c r="A6" s="4" t="inlineStr">
        <is>
          <t>Noam Bar-Lev</t>
        </is>
      </c>
      <c r="B6" s="4" t="inlineStr">
        <is>
          <t>Founder &amp; CEO → VP Digital Health Products</t>
        </is>
      </c>
      <c r="C6" s="5" t="n">
        <v>1800000</v>
      </c>
      <c r="D6" s="4" t="inlineStr">
        <is>
          <t>24 months, monthly vesting</t>
        </is>
      </c>
      <c r="E6" s="4" t="inlineStr">
        <is>
          <t>Continued employment; Year-1 revenue milestone</t>
        </is>
      </c>
      <c r="F6" s="6" t="inlineStr">
        <is>
          <t>High</t>
        </is>
      </c>
      <c r="G6" s="7" t="inlineStr">
        <is>
          <t>Also holds earnout upside per SPA Schedule C</t>
        </is>
      </c>
    </row>
    <row r="7">
      <c r="A7" s="4" t="inlineStr">
        <is>
          <t>Dana Levi</t>
        </is>
      </c>
      <c r="B7" s="4" t="inlineStr">
        <is>
          <t>Co-Founder &amp; CTO → Director, Platform Engineering</t>
        </is>
      </c>
      <c r="C7" s="5" t="n">
        <v>1400000</v>
      </c>
      <c r="D7" s="4" t="inlineStr">
        <is>
          <t>24 months, monthly vesting</t>
        </is>
      </c>
      <c r="E7" s="4" t="inlineStr">
        <is>
          <t>Continued employment</t>
        </is>
      </c>
      <c r="F7" s="6" t="inlineStr">
        <is>
          <t>High</t>
        </is>
      </c>
      <c r="G7" s="7" t="inlineStr">
        <is>
          <t>Critical for platform architecture continuity</t>
        </is>
      </c>
    </row>
    <row r="8">
      <c r="A8" s="4" t="inlineStr">
        <is>
          <t>Yael Ashkenazi</t>
        </is>
      </c>
      <c r="B8" s="4" t="inlineStr">
        <is>
          <t>Head of Clinical &amp; Regulatory Affairs</t>
        </is>
      </c>
      <c r="C8" s="5" t="n">
        <v>420000</v>
      </c>
      <c r="D8" s="4" t="inlineStr">
        <is>
          <t>18 months, monthly vesting</t>
        </is>
      </c>
      <c r="E8" s="4" t="inlineStr">
        <is>
          <t>Continued employment</t>
        </is>
      </c>
      <c r="F8" s="8" t="inlineStr">
        <is>
          <t>Medium</t>
        </is>
      </c>
      <c r="G8" s="7" t="inlineStr">
        <is>
          <t>Sole regulatory lead; single point of failure identified in DD</t>
        </is>
      </c>
    </row>
    <row r="9">
      <c r="A9" s="4" t="inlineStr">
        <is>
          <t>Omer Peretz</t>
        </is>
      </c>
      <c r="B9" s="4" t="inlineStr">
        <is>
          <t>Lead Backend Engineer</t>
        </is>
      </c>
      <c r="C9" s="5" t="n">
        <v>380000</v>
      </c>
      <c r="D9" s="4" t="inlineStr">
        <is>
          <t>18 months, monthly vesting</t>
        </is>
      </c>
      <c r="E9" s="4" t="inlineStr">
        <is>
          <t>Continued employment</t>
        </is>
      </c>
      <c r="F9" s="9" t="inlineStr">
        <is>
          <t>Medium-High</t>
        </is>
      </c>
      <c r="G9" s="7" t="inlineStr">
        <is>
          <t>Recruited by 2 competitors during diligence period per exit interviews</t>
        </is>
      </c>
    </row>
    <row r="10">
      <c r="A10" s="4" t="inlineStr">
        <is>
          <t>Tal Shapira</t>
        </is>
      </c>
      <c r="B10" s="4" t="inlineStr">
        <is>
          <t>Head of Customer Success</t>
        </is>
      </c>
      <c r="C10" s="5" t="n">
        <v>260000</v>
      </c>
      <c r="D10" s="4" t="inlineStr">
        <is>
          <t>12 months, monthly vesting</t>
        </is>
      </c>
      <c r="E10" s="4" t="inlineStr">
        <is>
          <t>Continued employment</t>
        </is>
      </c>
      <c r="F10" s="8" t="inlineStr">
        <is>
          <t>Medium</t>
        </is>
      </c>
      <c r="G10" s="7" t="inlineStr"/>
    </row>
    <row r="11">
      <c r="A11" s="4" t="inlineStr">
        <is>
          <t>Reserve Pool — Additional Key Contributors (TBD)</t>
        </is>
      </c>
      <c r="B11" s="4" t="inlineStr">
        <is>
          <t>Various (5-8 individuals)</t>
        </is>
      </c>
      <c r="C11" s="5" t="n">
        <v>1240000</v>
      </c>
      <c r="D11" s="4" t="inlineStr">
        <is>
          <t>12-18 months, to be finalized post-Closing</t>
        </is>
      </c>
      <c r="E11" s="4" t="inlineStr">
        <is>
          <t>Continued employment</t>
        </is>
      </c>
      <c r="F11" s="8" t="inlineStr">
        <is>
          <t>Medium</t>
        </is>
      </c>
      <c r="G11" s="7" t="inlineStr">
        <is>
          <t>Allocated but not yet assigned to named individuals</t>
        </is>
      </c>
    </row>
    <row r="12">
      <c r="A12" s="10" t="inlineStr">
        <is>
          <t>Total Retention Pool</t>
        </is>
      </c>
      <c r="B12" s="11" t="n"/>
      <c r="C12" s="12">
        <f>SUM(C6:C11)</f>
        <v/>
      </c>
      <c r="D12" s="11" t="n"/>
      <c r="E12" s="11" t="n"/>
      <c r="F12" s="11" t="n"/>
      <c r="G12" s="11" t="n"/>
    </row>
    <row r="14">
      <c r="A14" s="2" t="inlineStr">
        <is>
          <t>Note: Retention pool of USD 4,500,000 (per SPA Schedule D) allocated above; USD -1,000,000 reserved as unallocated buffer.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2026-08-23T18:26:53Z</dcterms:created>
  <dcterms:modified xmlns:dcterms="http://purl.org/dc/terms/" xmlns:xsi="http://www.w3.org/2001/XMLSchema-instance" xsi:type="dcterms:W3CDTF">2026-08-23T18:26:53Z</dcterms:modified>
</cp:coreProperties>
</file>