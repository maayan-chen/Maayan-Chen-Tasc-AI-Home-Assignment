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i val="1"/>
      <sz val="10"/>
    </font>
    <font>
      <b val="1"/>
      <sz val="10"/>
    </font>
    <font>
      <sz val="9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3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0" fontId="5" fillId="0" borderId="2" pivotButton="0" quotePrefix="0" xfId="0"/>
    <xf numFmtId="0" fontId="6" fillId="3" borderId="2" pivotButton="0" quotePrefix="0" xfId="0"/>
    <xf numFmtId="0" fontId="4" fillId="3" borderId="2" pivotButton="0" quotePrefix="0" xfId="0"/>
    <xf numFmtId="3" fontId="6" fillId="3" borderId="2" pivotButton="0" quotePrefix="0" xfId="0"/>
    <xf numFmtId="164" fontId="6" fillId="3" borderId="2" pivotButton="0" quotePrefix="0" xfId="0"/>
    <xf numFmtId="165" fontId="6" fillId="3" borderId="2" pivotButton="0" quotePrefix="0" xfId="0"/>
    <xf numFmtId="0" fontId="5" fillId="3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22" customWidth="1" min="5" max="5"/>
    <col width="45" customWidth="1" min="6" max="6"/>
  </cols>
  <sheetData>
    <row r="1">
      <c r="A1" s="1" t="inlineStr">
        <is>
          <t>PGTech Health Solutions Ltd. — Cap Table &amp; Deal Consideration (Schedule A)</t>
        </is>
      </c>
    </row>
    <row r="2">
      <c r="A2" s="2" t="inlineStr">
        <is>
          <t>Confidential — Fictional placeholder figures for project simulation purposes — August 2026</t>
        </is>
      </c>
    </row>
    <row r="4">
      <c r="A4" s="3" t="inlineStr">
        <is>
          <t>Shareholder</t>
        </is>
      </c>
      <c r="B4" s="3" t="inlineStr">
        <is>
          <t>Share Class</t>
        </is>
      </c>
      <c r="C4" s="3" t="inlineStr">
        <is>
          <t>Shares Held</t>
        </is>
      </c>
      <c r="D4" s="3" t="inlineStr">
        <is>
          <t>Fully Diluted %</t>
        </is>
      </c>
      <c r="E4" s="3" t="inlineStr">
        <is>
          <t>Consideration Allocation (USD)</t>
        </is>
      </c>
      <c r="F4" s="3" t="inlineStr">
        <is>
          <t>Notes</t>
        </is>
      </c>
    </row>
    <row r="5">
      <c r="A5" s="4" t="inlineStr">
        <is>
          <t>Noam Bar-Lev (Founder &amp; CEO)</t>
        </is>
      </c>
      <c r="B5" s="4" t="inlineStr">
        <is>
          <t>Ordinary</t>
        </is>
      </c>
      <c r="C5" s="5" t="n">
        <v>2400000</v>
      </c>
      <c r="D5" s="6" t="n">
        <v>0.24</v>
      </c>
      <c r="E5" s="7">
        <f>$B$14*D5</f>
        <v/>
      </c>
      <c r="F5" s="8" t="inlineStr">
        <is>
          <t>Subject to 24-month retention/earnout vesting on 30% of proceeds</t>
        </is>
      </c>
    </row>
    <row r="6">
      <c r="A6" s="4" t="inlineStr">
        <is>
          <t>Dana Levi (Co-Founder &amp; CTO)</t>
        </is>
      </c>
      <c r="B6" s="4" t="inlineStr">
        <is>
          <t>Ordinary</t>
        </is>
      </c>
      <c r="C6" s="5" t="n">
        <v>1600000</v>
      </c>
      <c r="D6" s="6" t="n">
        <v>0.16</v>
      </c>
      <c r="E6" s="7">
        <f>$B$14*D6</f>
        <v/>
      </c>
      <c r="F6" s="8" t="inlineStr">
        <is>
          <t>Subject to 24-month retention/earnout vesting on 30% of proceeds</t>
        </is>
      </c>
    </row>
    <row r="7">
      <c r="A7" s="4" t="inlineStr">
        <is>
          <t>Early Employee Pool (ESOP, vested)</t>
        </is>
      </c>
      <c r="B7" s="4" t="inlineStr">
        <is>
          <t>Ordinary</t>
        </is>
      </c>
      <c r="C7" s="5" t="n">
        <v>900000</v>
      </c>
      <c r="D7" s="6" t="n">
        <v>0.09</v>
      </c>
      <c r="E7" s="7">
        <f>$B$14*D7</f>
        <v/>
      </c>
      <c r="F7" s="8" t="inlineStr">
        <is>
          <t>38 current/former employees, vested options</t>
        </is>
      </c>
    </row>
    <row r="8">
      <c r="A8" s="4" t="inlineStr">
        <is>
          <t>Meridian Ventures Seed Fund</t>
        </is>
      </c>
      <c r="B8" s="4" t="inlineStr">
        <is>
          <t>Seed Preferred</t>
        </is>
      </c>
      <c r="C8" s="5" t="n">
        <v>1200000</v>
      </c>
      <c r="D8" s="6" t="n">
        <v>0.12</v>
      </c>
      <c r="E8" s="7">
        <f>$B$14*D8</f>
        <v/>
      </c>
      <c r="F8" s="8" t="inlineStr">
        <is>
          <t>Seed investor, 2020 round</t>
        </is>
      </c>
    </row>
    <row r="9">
      <c r="A9" s="4" t="inlineStr">
        <is>
          <t>Northbridge Health Capital</t>
        </is>
      </c>
      <c r="B9" s="4" t="inlineStr">
        <is>
          <t>Series A Preferred</t>
        </is>
      </c>
      <c r="C9" s="5" t="n">
        <v>2100000</v>
      </c>
      <c r="D9" s="6" t="n">
        <v>0.21</v>
      </c>
      <c r="E9" s="7">
        <f>$B$14*D9</f>
        <v/>
      </c>
      <c r="F9" s="8" t="inlineStr">
        <is>
          <t>Series A lead, 2022 round</t>
        </is>
      </c>
    </row>
    <row r="10">
      <c r="A10" s="4" t="inlineStr">
        <is>
          <t>Kfar Saba Growth Partners</t>
        </is>
      </c>
      <c r="B10" s="4" t="inlineStr">
        <is>
          <t>Series B Preferred</t>
        </is>
      </c>
      <c r="C10" s="5" t="n">
        <v>1800000</v>
      </c>
      <c r="D10" s="6" t="n">
        <v>0.18</v>
      </c>
      <c r="E10" s="7">
        <f>$B$14*D10</f>
        <v/>
      </c>
      <c r="F10" s="8" t="inlineStr">
        <is>
          <t>Series B lead, 2025 round</t>
        </is>
      </c>
    </row>
    <row r="11">
      <c r="A11" s="9" t="inlineStr">
        <is>
          <t>Total</t>
        </is>
      </c>
      <c r="B11" s="10" t="inlineStr"/>
      <c r="C11" s="11">
        <f>SUM(C5:C10)</f>
        <v/>
      </c>
      <c r="D11" s="12" t="n">
        <v>1</v>
      </c>
      <c r="E11" s="13">
        <f>$B$14*D11</f>
        <v/>
      </c>
      <c r="F11" s="14" t="inlineStr"/>
    </row>
    <row r="13">
      <c r="A13" s="15" t="inlineStr">
        <is>
          <t>Total Upfront Cash Consideration (USD)</t>
        </is>
      </c>
    </row>
    <row r="14">
      <c r="A14" s="16" t="inlineStr">
        <is>
          <t>Amount to Allocate Pro Rata (Upfront, ex-Escrow)</t>
        </is>
      </c>
      <c r="B14" s="17" t="n">
        <v>48000000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2026-08-23T18:26:53Z</dcterms:created>
  <dcterms:modified xmlns:dcterms="http://purl.org/dc/terms/" xmlns:xsi="http://www.w3.org/2001/XMLSchema-instance" xsi:type="dcterms:W3CDTF">2026-08-23T18:26:53Z</dcterms:modified>
</cp:coreProperties>
</file>