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Balance Sheet Snapsh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color rgb="00595959"/>
      <sz val="9"/>
    </font>
    <font>
      <b val="1"/>
      <color rgb="00FFFFFF"/>
      <sz val="10"/>
    </font>
    <font>
      <sz val="10"/>
    </font>
    <font>
      <i val="1"/>
      <sz val="10"/>
    </font>
    <font>
      <b val="1"/>
      <sz val="10"/>
    </font>
    <font>
      <sz val="9.5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3" fontId="4" fillId="0" borderId="2" pivotButton="0" quotePrefix="0" xfId="0"/>
    <xf numFmtId="0" fontId="5" fillId="0" borderId="2" pivotButton="0" quotePrefix="0" xfId="0"/>
    <xf numFmtId="0" fontId="6" fillId="0" borderId="2" pivotButton="0" quotePrefix="0" xfId="0"/>
    <xf numFmtId="3" fontId="6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3" borderId="2" pivotButton="0" quotePrefix="0" xfId="0"/>
    <xf numFmtId="3" fontId="6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6" customWidth="1" min="5" max="5"/>
    <col width="42" customWidth="1" min="6" max="6"/>
  </cols>
  <sheetData>
    <row r="1">
      <c r="A1" s="1" t="inlineStr">
        <is>
          <t>PGTech Health Solutions Ltd. — Financial Due Diligence Summary</t>
        </is>
      </c>
    </row>
    <row r="2">
      <c r="A2" s="2" t="inlineStr">
        <is>
          <t>Confidential — Prepared by Meridian Strategy Partners for Teva Corporate Development — August 2026</t>
        </is>
      </c>
    </row>
    <row r="3">
      <c r="A3" s="2" t="inlineStr">
        <is>
          <t>Fictional placeholder figures for project simulation purposes. All amounts in USD thousands unless noted.</t>
        </is>
      </c>
    </row>
    <row r="5">
      <c r="A5" s="3" t="inlineStr">
        <is>
          <t>Line Item</t>
        </is>
      </c>
      <c r="B5" s="3" t="inlineStr">
        <is>
          <t>FY2023 (Actual)</t>
        </is>
      </c>
      <c r="C5" s="3" t="inlineStr">
        <is>
          <t>FY2024 (Actual)</t>
        </is>
      </c>
      <c r="D5" s="3" t="inlineStr">
        <is>
          <t>FY2025 (Actual)</t>
        </is>
      </c>
      <c r="E5" s="3" t="inlineStr">
        <is>
          <t>FY2026 (Forecast)</t>
        </is>
      </c>
      <c r="F5" s="3" t="inlineStr">
        <is>
          <t>Notes</t>
        </is>
      </c>
    </row>
    <row r="6">
      <c r="A6" s="4" t="inlineStr">
        <is>
          <t>Revenue — SaaS Subscriptions</t>
        </is>
      </c>
      <c r="B6" s="5" t="n">
        <v>1840</v>
      </c>
      <c r="C6" s="5" t="n">
        <v>3120</v>
      </c>
      <c r="D6" s="5" t="n">
        <v>5460</v>
      </c>
      <c r="E6" s="5" t="n">
        <v>8250</v>
      </c>
      <c r="F6" s="6" t="inlineStr">
        <is>
          <t>Remote patient monitoring platform, per-seat licensing</t>
        </is>
      </c>
    </row>
    <row r="7">
      <c r="A7" s="4" t="inlineStr">
        <is>
          <t>Revenue — Device Hardware</t>
        </is>
      </c>
      <c r="B7" s="5" t="n">
        <v>620</v>
      </c>
      <c r="C7" s="5" t="n">
        <v>980</v>
      </c>
      <c r="D7" s="5" t="n">
        <v>1340</v>
      </c>
      <c r="E7" s="5" t="n">
        <v>1710</v>
      </c>
      <c r="F7" s="6" t="inlineStr">
        <is>
          <t>Wearable sensor kits sold to clinics/payers</t>
        </is>
      </c>
    </row>
    <row r="8">
      <c r="A8" s="7" t="inlineStr">
        <is>
          <t>Total Revenue</t>
        </is>
      </c>
      <c r="B8" s="8">
        <f>B6+B7</f>
        <v/>
      </c>
      <c r="C8" s="8">
        <f>C6+C7</f>
        <v/>
      </c>
      <c r="D8" s="8">
        <f>D6+D7</f>
        <v/>
      </c>
      <c r="E8" s="8">
        <f>E6+E7</f>
        <v/>
      </c>
      <c r="F8" s="6">
        <f>SUM formula rows below</f>
        <v/>
      </c>
    </row>
    <row r="9">
      <c r="A9" s="4" t="inlineStr">
        <is>
          <t>Cost of Revenue</t>
        </is>
      </c>
      <c r="B9" s="5" t="n">
        <v>1120</v>
      </c>
      <c r="C9" s="5" t="n">
        <v>1780</v>
      </c>
      <c r="D9" s="5" t="n">
        <v>2790</v>
      </c>
      <c r="E9" s="5" t="n">
        <v>3980</v>
      </c>
      <c r="F9" s="6" t="inlineStr">
        <is>
          <t>Hosting, device COGS, clinical support staff</t>
        </is>
      </c>
    </row>
    <row r="10">
      <c r="A10" s="7" t="inlineStr">
        <is>
          <t>Gross Profit</t>
        </is>
      </c>
      <c r="B10" s="8">
        <f>B8-B9</f>
        <v/>
      </c>
      <c r="C10" s="8">
        <f>C8-C9</f>
        <v/>
      </c>
      <c r="D10" s="8">
        <f>D8-D9</f>
        <v/>
      </c>
      <c r="E10" s="8">
        <f>E8-E9</f>
        <v/>
      </c>
      <c r="F10" s="6" t="inlineStr">
        <is>
          <t>Formula-driven</t>
        </is>
      </c>
    </row>
    <row r="11">
      <c r="A11" s="4" t="inlineStr">
        <is>
          <t>R&amp;D Expense</t>
        </is>
      </c>
      <c r="B11" s="5" t="n">
        <v>980</v>
      </c>
      <c r="C11" s="5" t="n">
        <v>1450</v>
      </c>
      <c r="D11" s="5" t="n">
        <v>2010</v>
      </c>
      <c r="E11" s="5" t="n">
        <v>2640</v>
      </c>
      <c r="F11" s="6" t="inlineStr">
        <is>
          <t>Engineering, clinical/regulatory affairs</t>
        </is>
      </c>
    </row>
    <row r="12">
      <c r="A12" s="4" t="inlineStr">
        <is>
          <t>Sales &amp; Marketing Expense</t>
        </is>
      </c>
      <c r="B12" s="5" t="n">
        <v>410</v>
      </c>
      <c r="C12" s="5" t="n">
        <v>690</v>
      </c>
      <c r="D12" s="5" t="n">
        <v>1120</v>
      </c>
      <c r="E12" s="5" t="n">
        <v>1580</v>
      </c>
      <c r="F12" s="6" t="inlineStr">
        <is>
          <t>Includes 2 payer-channel partnership deals signed FY2025</t>
        </is>
      </c>
    </row>
    <row r="13">
      <c r="A13" s="4" t="inlineStr">
        <is>
          <t>G&amp;A Expense</t>
        </is>
      </c>
      <c r="B13" s="5" t="n">
        <v>340</v>
      </c>
      <c r="C13" s="5" t="n">
        <v>480</v>
      </c>
      <c r="D13" s="5" t="n">
        <v>650</v>
      </c>
      <c r="E13" s="5" t="n">
        <v>810</v>
      </c>
      <c r="F13" s="6" t="inlineStr">
        <is>
          <t>Includes one-time legal costs re: Series B, FY2024</t>
        </is>
      </c>
    </row>
    <row r="14">
      <c r="A14" s="7" t="inlineStr">
        <is>
          <t>EBITDA</t>
        </is>
      </c>
      <c r="B14" s="8">
        <f>B10-B11-B12-B13</f>
        <v/>
      </c>
      <c r="C14" s="8">
        <f>C10-C11-C12-C13</f>
        <v/>
      </c>
      <c r="D14" s="8">
        <f>D10-D11-D12-D13</f>
        <v/>
      </c>
      <c r="E14" s="8">
        <f>E10-E11-E12-E13</f>
        <v/>
      </c>
      <c r="F14" s="6" t="inlineStr">
        <is>
          <t>Formula-driven</t>
        </is>
      </c>
    </row>
    <row r="15">
      <c r="A15" s="7" t="inlineStr">
        <is>
          <t>Net Income / (Loss)</t>
        </is>
      </c>
      <c r="B15" s="5" t="n">
        <v>-390</v>
      </c>
      <c r="C15" s="5" t="n">
        <v>-280</v>
      </c>
      <c r="D15" s="5" t="n">
        <v>240</v>
      </c>
      <c r="E15" s="5" t="n">
        <v>950</v>
      </c>
      <c r="F15" s="6" t="inlineStr">
        <is>
          <t>First profitable year: FY2025</t>
        </is>
      </c>
    </row>
    <row r="17">
      <c r="A17" s="9" t="inlineStr">
        <is>
          <t>Key DD Observations:</t>
        </is>
      </c>
    </row>
    <row r="18">
      <c r="A18" s="10" t="inlineStr">
        <is>
          <t>• Revenue CAGR FY2023-FY2026 (F): ~65%, driven primarily by SaaS subscription growth post Series B.</t>
        </is>
      </c>
    </row>
    <row r="19">
      <c r="A19" s="10" t="inlineStr">
        <is>
          <t>• Customer concentration risk: top 3 payer customers represent ~48% of FY2025 revenue.</t>
        </is>
      </c>
    </row>
    <row r="20">
      <c r="A20" s="10" t="inlineStr">
        <is>
          <t>• Gross margin improving from ~35% (FY2023) to ~52% (FY2026F) as hosting costs scale more efficiently than revenue.</t>
        </is>
      </c>
    </row>
    <row r="21">
      <c r="A21" s="10" t="inlineStr">
        <is>
          <t>• No material outstanding litigation identified in legal DD as of data room close (July 2026).</t>
        </is>
      </c>
    </row>
    <row r="22">
      <c r="A22" s="10" t="inlineStr">
        <is>
          <t>• Recommend confirmatory Quality of Earnings review prior to final signing — flagged in SOW Phase 2.</t>
        </is>
      </c>
    </row>
  </sheetData>
  <mergeCells count="6">
    <mergeCell ref="A19:F19"/>
    <mergeCell ref="A1:F1"/>
    <mergeCell ref="A22:F22"/>
    <mergeCell ref="A18:F18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45" customWidth="1" min="3" max="3"/>
  </cols>
  <sheetData>
    <row r="1">
      <c r="A1" s="1" t="inlineStr">
        <is>
          <t>PGTech Health Solutions Ltd. — Balance Sheet Snapshot (as of June 30, 2026)</t>
        </is>
      </c>
    </row>
    <row r="2">
      <c r="A2" s="2" t="inlineStr">
        <is>
          <t>Fictional placeholder figures. All amounts in USD thousands.</t>
        </is>
      </c>
    </row>
    <row r="4">
      <c r="A4" s="3" t="inlineStr">
        <is>
          <t>Item</t>
        </is>
      </c>
      <c r="B4" s="3" t="inlineStr">
        <is>
          <t>Amount</t>
        </is>
      </c>
      <c r="C4" s="3" t="inlineStr">
        <is>
          <t>Notes</t>
        </is>
      </c>
    </row>
    <row r="5">
      <c r="A5" s="4" t="inlineStr">
        <is>
          <t>Cash &amp; Cash Equivalents</t>
        </is>
      </c>
      <c r="B5" s="5" t="n">
        <v>3240</v>
      </c>
      <c r="C5" s="6" t="inlineStr">
        <is>
          <t>Post Series B; runway ~14 months pre-transaction</t>
        </is>
      </c>
    </row>
    <row r="6">
      <c r="A6" s="4" t="inlineStr">
        <is>
          <t>Accounts Receivable</t>
        </is>
      </c>
      <c r="B6" s="5" t="n">
        <v>1180</v>
      </c>
      <c r="C6" s="6" t="inlineStr">
        <is>
          <t>DSO ~68 days</t>
        </is>
      </c>
    </row>
    <row r="7">
      <c r="A7" s="11" t="inlineStr">
        <is>
          <t>Total Current Assets</t>
        </is>
      </c>
      <c r="B7" s="12" t="n">
        <v>4850</v>
      </c>
      <c r="C7" s="6" t="inlineStr"/>
    </row>
    <row r="8">
      <c r="A8" s="4" t="inlineStr">
        <is>
          <t>Property &amp; Equipment (net)</t>
        </is>
      </c>
      <c r="B8" s="5" t="n">
        <v>620</v>
      </c>
      <c r="C8" s="6" t="inlineStr">
        <is>
          <t>Lab equipment, device tooling</t>
        </is>
      </c>
    </row>
    <row r="9">
      <c r="A9" s="4" t="inlineStr">
        <is>
          <t>Capitalized Software</t>
        </is>
      </c>
      <c r="B9" s="5" t="n">
        <v>1940</v>
      </c>
      <c r="C9" s="6" t="inlineStr">
        <is>
          <t>Internally developed platform IP</t>
        </is>
      </c>
    </row>
    <row r="10">
      <c r="A10" s="11" t="inlineStr">
        <is>
          <t>Total Assets</t>
        </is>
      </c>
      <c r="B10" s="12" t="n">
        <v>7410</v>
      </c>
      <c r="C10" s="6" t="inlineStr"/>
    </row>
    <row r="11">
      <c r="A11" s="4" t="inlineStr">
        <is>
          <t>Accounts Payable</t>
        </is>
      </c>
      <c r="B11" s="5" t="n">
        <v>890</v>
      </c>
      <c r="C11" s="6" t="inlineStr"/>
    </row>
    <row r="12">
      <c r="A12" s="4" t="inlineStr">
        <is>
          <t>Accrued Payroll &amp; Bonuses</t>
        </is>
      </c>
      <c r="B12" s="5" t="n">
        <v>410</v>
      </c>
      <c r="C12" s="6" t="inlineStr"/>
    </row>
    <row r="13">
      <c r="A13" s="4" t="inlineStr">
        <is>
          <t>Deferred Revenue</t>
        </is>
      </c>
      <c r="B13" s="5" t="n">
        <v>1120</v>
      </c>
      <c r="C13" s="6" t="inlineStr">
        <is>
          <t>Annual SaaS contracts billed upfront</t>
        </is>
      </c>
    </row>
    <row r="14">
      <c r="A14" s="4" t="inlineStr">
        <is>
          <t>Convertible Notes Payable</t>
        </is>
      </c>
      <c r="B14" s="5" t="n">
        <v>1500</v>
      </c>
      <c r="C14" s="6" t="inlineStr">
        <is>
          <t>Bridge round, Q1 2026 — converts or is settled at Closing</t>
        </is>
      </c>
    </row>
    <row r="15">
      <c r="A15" s="11" t="inlineStr">
        <is>
          <t>Total Liabilities</t>
        </is>
      </c>
      <c r="B15" s="12" t="n">
        <v>3920</v>
      </c>
      <c r="C15" s="6" t="inlineStr"/>
    </row>
    <row r="16">
      <c r="A16" s="11" t="inlineStr">
        <is>
          <t>Total Shareholders' Equity</t>
        </is>
      </c>
      <c r="B16" s="12" t="n">
        <v>3490</v>
      </c>
      <c r="C16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2026-08-23T18:26:53Z</dcterms:created>
  <dcterms:modified xmlns:dcterms="http://purl.org/dc/terms/" xmlns:xsi="http://www.w3.org/2001/XMLSchema-instance" xsi:type="dcterms:W3CDTF">2026-08-23T18:26:53Z</dcterms:modified>
</cp:coreProperties>
</file>