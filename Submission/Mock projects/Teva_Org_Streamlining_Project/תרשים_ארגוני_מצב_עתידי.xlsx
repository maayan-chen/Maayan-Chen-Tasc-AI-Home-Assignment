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בנה עתיד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1F3864"/>
      <sz val="12"/>
    </font>
    <font>
      <name val="Arial"/>
      <b val="1"/>
      <color rgb="00C00000"/>
      <sz val="10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3" fillId="0" borderId="0" applyAlignment="1" pivotButton="0" quotePrefix="0" xfId="0">
      <alignment horizontal="right" vertical="center" wrapText="1" readingOrder="2"/>
    </xf>
    <xf numFmtId="0" fontId="4" fillId="0" borderId="0" applyAlignment="1" pivotButton="0" quotePrefix="0" xfId="0">
      <alignment horizontal="right" vertical="center" wrapText="1" readingOrder="2"/>
    </xf>
    <xf numFmtId="0" fontId="5" fillId="2" borderId="1" applyAlignment="1" pivotButton="0" quotePrefix="0" xfId="0">
      <alignment horizontal="center" vertical="center" wrapText="1" readingOrder="2"/>
    </xf>
    <xf numFmtId="0" fontId="6" fillId="0" borderId="1" applyAlignment="1" pivotButton="0" quotePrefix="0" xfId="0">
      <alignment horizontal="right" vertical="center" wrapText="1" readingOrder="2"/>
    </xf>
    <xf numFmtId="3" fontId="6" fillId="0" borderId="1" applyAlignment="1" pivotButton="0" quotePrefix="0" xfId="0">
      <alignment horizontal="center" vertical="center" wrapText="1" readingOrder="2"/>
    </xf>
    <xf numFmtId="0" fontId="7" fillId="3" borderId="1" applyAlignment="1" pivotButton="0" quotePrefix="0" xfId="0">
      <alignment horizontal="right" vertical="center" wrapText="1" readingOrder="2"/>
    </xf>
    <xf numFmtId="0" fontId="7" fillId="3" borderId="1" applyAlignment="1" pivotButton="0" quotePrefix="0" xfId="0">
      <alignment horizontal="center" vertical="center" wrapText="1" readingOrder="2"/>
    </xf>
    <xf numFmtId="0" fontId="0" fillId="3" borderId="1" pivotButton="0" quotePrefix="0" xfId="0"/>
    <xf numFmtId="3" fontId="7" fillId="3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2" customWidth="1" min="4" max="4"/>
    <col width="16" customWidth="1" min="5" max="5"/>
    <col width="12" customWidth="1" min="6" max="6"/>
    <col width="18" customWidth="1" min="7" max="7"/>
    <col width="26" customWidth="1" min="8" max="8"/>
  </cols>
  <sheetData>
    <row r="1">
      <c r="A1" s="1" t="inlineStr">
        <is>
          <t>טבע תעשיות פרמצבטיות — מחלקת כספים במטה</t>
        </is>
      </c>
    </row>
    <row r="2">
      <c r="A2" s="2" t="inlineStr">
        <is>
          <t>מבנה ארגוני עתידי מוצע — טיוטת עבודה</t>
        </is>
      </c>
    </row>
    <row r="3">
      <c r="A3" s="3" t="inlineStr">
        <is>
          <t>סודי — לשימוש פנימי בלבד — פרויקט ייעול ארגוני — אוגוסט 2026</t>
        </is>
      </c>
    </row>
    <row r="4">
      <c r="A4" s="4" t="inlineStr">
        <is>
          <t>הערה: כל הנתונים בקובץ זה הינם נתוני דמה (Mock) שנוצרו לצורך סימולציית פרויקט בלבד</t>
        </is>
      </c>
    </row>
    <row r="6" ht="30" customHeight="1">
      <c r="A6" s="5" t="inlineStr">
        <is>
          <t>מספר עובד</t>
        </is>
      </c>
      <c r="B6" s="5" t="inlineStr">
        <is>
          <t>שם העובד</t>
        </is>
      </c>
      <c r="C6" s="5" t="inlineStr">
        <is>
          <t>תפקיד</t>
        </is>
      </c>
      <c r="D6" s="5" t="inlineStr">
        <is>
          <t>מחלקה</t>
        </is>
      </c>
      <c r="E6" s="5" t="inlineStr">
        <is>
          <t>כפוף ל-</t>
        </is>
      </c>
      <c r="F6" s="5" t="inlineStr">
        <is>
          <t>רמת תפקיד</t>
        </is>
      </c>
      <c r="G6" s="5" t="inlineStr">
        <is>
          <t>שכר בסיס שנתי (₪)</t>
        </is>
      </c>
      <c r="H6" s="5" t="inlineStr">
        <is>
          <t>סטטוס</t>
        </is>
      </c>
    </row>
    <row r="7">
      <c r="A7" s="6" t="inlineStr">
        <is>
          <t>E1001</t>
        </is>
      </c>
      <c r="B7" s="6" t="inlineStr">
        <is>
          <t>דוד כץ</t>
        </is>
      </c>
      <c r="C7" s="6" t="inlineStr">
        <is>
          <t>סמנכ"ל כספים, מטה</t>
        </is>
      </c>
      <c r="D7" s="6" t="inlineStr">
        <is>
          <t>הנהלת כספים</t>
        </is>
      </c>
      <c r="E7" s="6" t="inlineStr">
        <is>
          <t>-</t>
        </is>
      </c>
      <c r="F7" s="6" t="inlineStr">
        <is>
          <t>VP</t>
        </is>
      </c>
      <c r="G7" s="7" t="n">
        <v>620000</v>
      </c>
      <c r="H7" s="6" t="inlineStr">
        <is>
          <t>ללא שינוי</t>
        </is>
      </c>
    </row>
    <row r="8">
      <c r="A8" s="6" t="inlineStr">
        <is>
          <t>E1002</t>
        </is>
      </c>
      <c r="B8" s="6" t="inlineStr">
        <is>
          <t>נועה בן-דוד</t>
        </is>
      </c>
      <c r="C8" s="6" t="inlineStr">
        <is>
          <t>מנהלת תכנון ותקצוב</t>
        </is>
      </c>
      <c r="D8" s="6" t="inlineStr">
        <is>
          <t>תכנון ותקצוב (FP&amp;A)</t>
        </is>
      </c>
      <c r="E8" s="6" t="inlineStr">
        <is>
          <t>דוד כץ</t>
        </is>
      </c>
      <c r="F8" s="6" t="inlineStr">
        <is>
          <t>D1</t>
        </is>
      </c>
      <c r="G8" s="7" t="n">
        <v>480000</v>
      </c>
      <c r="H8" s="6" t="inlineStr">
        <is>
          <t>ללא שינוי</t>
        </is>
      </c>
    </row>
    <row r="9">
      <c r="A9" s="6" t="inlineStr">
        <is>
          <t>E1003</t>
        </is>
      </c>
      <c r="B9" s="6" t="inlineStr">
        <is>
          <t>עמית שלו</t>
        </is>
      </c>
      <c r="C9" s="6" t="inlineStr">
        <is>
          <t>מנהל בקרה כספית</t>
        </is>
      </c>
      <c r="D9" s="6" t="inlineStr">
        <is>
          <t>בקרה כספית</t>
        </is>
      </c>
      <c r="E9" s="6" t="inlineStr">
        <is>
          <t>דוד כץ</t>
        </is>
      </c>
      <c r="F9" s="6" t="inlineStr">
        <is>
          <t>D1</t>
        </is>
      </c>
      <c r="G9" s="7" t="n">
        <v>495000</v>
      </c>
      <c r="H9" s="6" t="inlineStr">
        <is>
          <t>ללא שינוי</t>
        </is>
      </c>
    </row>
    <row r="10">
      <c r="A10" s="6" t="inlineStr">
        <is>
          <t>E1004</t>
        </is>
      </c>
      <c r="B10" s="6" t="inlineStr">
        <is>
          <t>מיכל אוזר</t>
        </is>
      </c>
      <c r="C10" s="6" t="inlineStr">
        <is>
          <t>מנהלת כספי רכש</t>
        </is>
      </c>
      <c r="D10" s="6" t="inlineStr">
        <is>
          <t>כספי רכש</t>
        </is>
      </c>
      <c r="E10" s="6" t="inlineStr">
        <is>
          <t>דוד כץ</t>
        </is>
      </c>
      <c r="F10" s="6" t="inlineStr">
        <is>
          <t>D1</t>
        </is>
      </c>
      <c r="G10" s="7" t="n">
        <v>470000</v>
      </c>
      <c r="H10" s="6" t="inlineStr">
        <is>
          <t>ללא שינוי</t>
        </is>
      </c>
    </row>
    <row r="11">
      <c r="A11" s="6" t="inlineStr">
        <is>
          <t>E1005</t>
        </is>
      </c>
      <c r="B11" s="6" t="inlineStr">
        <is>
          <t>יוסי מזרחי</t>
        </is>
      </c>
      <c r="C11" s="6" t="inlineStr">
        <is>
          <t>מנהל בכיר, תכנון ותקצוב</t>
        </is>
      </c>
      <c r="D11" s="6" t="inlineStr">
        <is>
          <t>תכנון ותקצוב (FP&amp;A)</t>
        </is>
      </c>
      <c r="E11" s="6" t="inlineStr">
        <is>
          <t>נועה בן-דוד</t>
        </is>
      </c>
      <c r="F11" s="6" t="inlineStr">
        <is>
          <t>M2</t>
        </is>
      </c>
      <c r="G11" s="7" t="n">
        <v>340000</v>
      </c>
      <c r="H11" s="6" t="inlineStr">
        <is>
          <t>ללא שינוי</t>
        </is>
      </c>
    </row>
    <row r="12">
      <c r="A12" s="6" t="inlineStr">
        <is>
          <t>E1006</t>
        </is>
      </c>
      <c r="B12" s="6" t="inlineStr">
        <is>
          <t>תמר אברהם</t>
        </is>
      </c>
      <c r="C12" s="6" t="inlineStr">
        <is>
          <t>מנהלת בכירה, תכנון ותקצוב</t>
        </is>
      </c>
      <c r="D12" s="6" t="inlineStr">
        <is>
          <t>תכנון ותקצוב (FP&amp;A)</t>
        </is>
      </c>
      <c r="E12" s="6" t="inlineStr">
        <is>
          <t>נועה בן-דוד</t>
        </is>
      </c>
      <c r="F12" s="6" t="inlineStr">
        <is>
          <t>M2</t>
        </is>
      </c>
      <c r="G12" s="7" t="n">
        <v>335000</v>
      </c>
      <c r="H12" s="6" t="inlineStr">
        <is>
          <t>ללא שינוי</t>
        </is>
      </c>
    </row>
    <row r="13">
      <c r="A13" s="6" t="inlineStr">
        <is>
          <t>E1012</t>
        </is>
      </c>
      <c r="B13" s="6" t="inlineStr">
        <is>
          <t>ליאת נחמיאס</t>
        </is>
      </c>
      <c r="C13" s="6" t="inlineStr">
        <is>
          <t>מנהלת בכירה, בקרה כספית</t>
        </is>
      </c>
      <c r="D13" s="6" t="inlineStr">
        <is>
          <t>בקרה כספית</t>
        </is>
      </c>
      <c r="E13" s="6" t="inlineStr">
        <is>
          <t>עמית שלו</t>
        </is>
      </c>
      <c r="F13" s="6" t="inlineStr">
        <is>
          <t>M2</t>
        </is>
      </c>
      <c r="G13" s="7" t="n">
        <v>330000</v>
      </c>
      <c r="H13" s="6" t="inlineStr">
        <is>
          <t>מאוחד עם צוות דיווח סטטוטורי</t>
        </is>
      </c>
    </row>
    <row r="14">
      <c r="A14" s="6" t="inlineStr">
        <is>
          <t>E1020</t>
        </is>
      </c>
      <c r="B14" s="6" t="inlineStr">
        <is>
          <t>רותם כהן-לוי</t>
        </is>
      </c>
      <c r="C14" s="6" t="inlineStr">
        <is>
          <t>מנהלת בכירה, כספי רכש</t>
        </is>
      </c>
      <c r="D14" s="6" t="inlineStr">
        <is>
          <t>כספי רכש</t>
        </is>
      </c>
      <c r="E14" s="6" t="inlineStr">
        <is>
          <t>מיכל אוזר</t>
        </is>
      </c>
      <c r="F14" s="6" t="inlineStr">
        <is>
          <t>M2</t>
        </is>
      </c>
      <c r="G14" s="7" t="n">
        <v>320000</v>
      </c>
      <c r="H14" s="6" t="inlineStr">
        <is>
          <t>ללא שינוי</t>
        </is>
      </c>
    </row>
    <row r="15">
      <c r="A15" s="6" t="inlineStr">
        <is>
          <t>E1007</t>
        </is>
      </c>
      <c r="B15" s="6" t="inlineStr">
        <is>
          <t>אלי כהן</t>
        </is>
      </c>
      <c r="C15" s="6" t="inlineStr">
        <is>
          <t>אנליסט תכנון ותקצוב</t>
        </is>
      </c>
      <c r="D15" s="6" t="inlineStr">
        <is>
          <t>תכנון ותקצוב (FP&amp;A)</t>
        </is>
      </c>
      <c r="E15" s="6" t="inlineStr">
        <is>
          <t>יוסי מזרחי</t>
        </is>
      </c>
      <c r="F15" s="6" t="inlineStr">
        <is>
          <t>P3</t>
        </is>
      </c>
      <c r="G15" s="7" t="n">
        <v>220000</v>
      </c>
      <c r="H15" s="6" t="inlineStr">
        <is>
          <t>ללא שינוי</t>
        </is>
      </c>
    </row>
    <row r="16">
      <c r="A16" s="6" t="inlineStr">
        <is>
          <t>E1008</t>
        </is>
      </c>
      <c r="B16" s="6" t="inlineStr">
        <is>
          <t>שירה פרץ</t>
        </is>
      </c>
      <c r="C16" s="6" t="inlineStr">
        <is>
          <t>אנליסטית תכנון ותקצוב</t>
        </is>
      </c>
      <c r="D16" s="6" t="inlineStr">
        <is>
          <t>תכנון ותקצוב (FP&amp;A)</t>
        </is>
      </c>
      <c r="E16" s="6" t="inlineStr">
        <is>
          <t>יוסי מזרחי</t>
        </is>
      </c>
      <c r="F16" s="6" t="inlineStr">
        <is>
          <t>P3</t>
        </is>
      </c>
      <c r="G16" s="7" t="n">
        <v>215000</v>
      </c>
      <c r="H16" s="6" t="inlineStr">
        <is>
          <t>ללא שינוי</t>
        </is>
      </c>
    </row>
    <row r="17">
      <c r="A17" s="6" t="inlineStr">
        <is>
          <t>E1009</t>
        </is>
      </c>
      <c r="B17" s="6" t="inlineStr">
        <is>
          <t>רועי גרין</t>
        </is>
      </c>
      <c r="C17" s="6" t="inlineStr">
        <is>
          <t>אנליסט תכנון ותקצוב</t>
        </is>
      </c>
      <c r="D17" s="6" t="inlineStr">
        <is>
          <t>תכנון ותקצוב (FP&amp;A)</t>
        </is>
      </c>
      <c r="E17" s="6" t="inlineStr">
        <is>
          <t>תמר אברהם</t>
        </is>
      </c>
      <c r="F17" s="6" t="inlineStr">
        <is>
          <t>P2</t>
        </is>
      </c>
      <c r="G17" s="7" t="n">
        <v>175000</v>
      </c>
      <c r="H17" s="6" t="inlineStr">
        <is>
          <t>ללא שינוי</t>
        </is>
      </c>
    </row>
    <row r="18">
      <c r="A18" s="6" t="inlineStr">
        <is>
          <t>E1014</t>
        </is>
      </c>
      <c r="B18" s="6" t="inlineStr">
        <is>
          <t>עדי לכמן</t>
        </is>
      </c>
      <c r="C18" s="6" t="inlineStr">
        <is>
          <t>רואת חשבון</t>
        </is>
      </c>
      <c r="D18" s="6" t="inlineStr">
        <is>
          <t>בקרה כספית</t>
        </is>
      </c>
      <c r="E18" s="6" t="inlineStr">
        <is>
          <t>ליאת נחמיאס</t>
        </is>
      </c>
      <c r="F18" s="6" t="inlineStr">
        <is>
          <t>P3</t>
        </is>
      </c>
      <c r="G18" s="7" t="n">
        <v>210000</v>
      </c>
      <c r="H18" s="6" t="inlineStr">
        <is>
          <t>ללא שינוי</t>
        </is>
      </c>
    </row>
    <row r="19">
      <c r="A19" s="6" t="inlineStr">
        <is>
          <t>E1017</t>
        </is>
      </c>
      <c r="B19" s="6" t="inlineStr">
        <is>
          <t>ירון פלד</t>
        </is>
      </c>
      <c r="C19" s="6" t="inlineStr">
        <is>
          <t>רואה חשבון</t>
        </is>
      </c>
      <c r="D19" s="6" t="inlineStr">
        <is>
          <t>בקרה כספית</t>
        </is>
      </c>
      <c r="E19" s="6" t="inlineStr">
        <is>
          <t>ליאת נחמיאס</t>
        </is>
      </c>
      <c r="F19" s="6" t="inlineStr">
        <is>
          <t>P3</t>
        </is>
      </c>
      <c r="G19" s="7" t="n">
        <v>212000</v>
      </c>
      <c r="H19" s="6" t="inlineStr">
        <is>
          <t>הועבר מצוות דיווח סטטוטורי</t>
        </is>
      </c>
    </row>
    <row r="20">
      <c r="A20" s="6" t="inlineStr">
        <is>
          <t>E1021</t>
        </is>
      </c>
      <c r="B20" s="6" t="inlineStr">
        <is>
          <t>בועז צור</t>
        </is>
      </c>
      <c r="C20" s="6" t="inlineStr">
        <is>
          <t>אנליסט כספי רכש</t>
        </is>
      </c>
      <c r="D20" s="6" t="inlineStr">
        <is>
          <t>כספי רכש</t>
        </is>
      </c>
      <c r="E20" s="6" t="inlineStr">
        <is>
          <t>רותם כהן-לוי</t>
        </is>
      </c>
      <c r="F20" s="6" t="inlineStr">
        <is>
          <t>P3</t>
        </is>
      </c>
      <c r="G20" s="7" t="n">
        <v>205000</v>
      </c>
      <c r="H20" s="6" t="inlineStr">
        <is>
          <t>ללא שינוי</t>
        </is>
      </c>
    </row>
    <row r="21">
      <c r="A21" s="6" t="inlineStr">
        <is>
          <t>E1024</t>
        </is>
      </c>
      <c r="B21" s="6" t="inlineStr">
        <is>
          <t>אורלי וקנין</t>
        </is>
      </c>
      <c r="C21" s="6" t="inlineStr">
        <is>
          <t>שותפה עסקית פיננסית</t>
        </is>
      </c>
      <c r="D21" s="6" t="inlineStr">
        <is>
          <t>כספי רכש</t>
        </is>
      </c>
      <c r="E21" s="6" t="inlineStr">
        <is>
          <t>רותם כהן-לוי</t>
        </is>
      </c>
      <c r="F21" s="6" t="inlineStr">
        <is>
          <t>M1</t>
        </is>
      </c>
      <c r="G21" s="7" t="n">
        <v>260000</v>
      </c>
      <c r="H21" s="6" t="inlineStr">
        <is>
          <t>ללא שינוי</t>
        </is>
      </c>
    </row>
    <row r="22">
      <c r="A22" s="6" t="inlineStr">
        <is>
          <t>E1025</t>
        </is>
      </c>
      <c r="B22" s="6" t="inlineStr">
        <is>
          <t>גלעד פרנקל</t>
        </is>
      </c>
      <c r="C22" s="6" t="inlineStr">
        <is>
          <t>רכז תפעול כספים</t>
        </is>
      </c>
      <c r="D22" s="6" t="inlineStr">
        <is>
          <t>הנהלת כספים</t>
        </is>
      </c>
      <c r="E22" s="6" t="inlineStr">
        <is>
          <t>דוד כץ</t>
        </is>
      </c>
      <c r="F22" s="6" t="inlineStr">
        <is>
          <t>P1</t>
        </is>
      </c>
      <c r="G22" s="7" t="n">
        <v>145000</v>
      </c>
      <c r="H22" s="6" t="inlineStr">
        <is>
          <t>ללא שינוי</t>
        </is>
      </c>
    </row>
    <row r="24">
      <c r="A24" s="8" t="inlineStr">
        <is>
          <t>סה"כ תקנים</t>
        </is>
      </c>
      <c r="B24" s="9">
        <f>COUNTA(A7:A22)</f>
        <v/>
      </c>
      <c r="C24" s="10" t="n"/>
      <c r="D24" s="10" t="n"/>
      <c r="E24" s="10" t="n"/>
      <c r="F24" s="10" t="n"/>
      <c r="G24" s="11">
        <f>SUM(G7:G22)</f>
        <v/>
      </c>
      <c r="H24" s="10" t="n"/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2026-08-20T11:50:29Z</dcterms:created>
  <dcterms:modified xmlns:dcterms="http://purl.org/dc/terms/" xmlns:xsi="http://www.w3.org/2001/XMLSchema-instance" xsi:type="dcterms:W3CDTF">2026-08-20T11:50:29Z</dcterms:modified>
</cp:coreProperties>
</file>