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444444"/>
      <sz val="9"/>
    </font>
    <font>
      <name val="Arial"/>
      <sz val="10"/>
    </font>
    <font>
      <name val="Arial"/>
      <b val="1"/>
      <sz val="11"/>
    </font>
    <font>
      <name val="Arial"/>
      <b val="1"/>
      <color rgb="00006100"/>
      <sz val="11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pivotButton="0" quotePrefix="0" xfId="0"/>
    <xf numFmtId="0" fontId="6" fillId="0" borderId="1" applyAlignment="1" pivotButton="0" quotePrefix="0" xfId="0">
      <alignment wrapText="1"/>
    </xf>
    <xf numFmtId="0" fontId="7" fillId="0" borderId="1" pivotButton="0" quotePrefix="0" xfId="0"/>
    <xf numFmtId="164" fontId="7" fillId="0" borderId="1" pivotButton="0" quotePrefix="0" xfId="0"/>
    <xf numFmtId="3" fontId="7" fillId="0" borderId="1" pivotButton="0" quotePrefix="0" xfId="0"/>
    <xf numFmtId="165" fontId="5" fillId="3" borderId="1" pivotButton="0" quotePrefix="0" xfId="0"/>
    <xf numFmtId="3" fontId="5" fillId="3" borderId="1" pivotButton="0" quotePrefix="0" xfId="0"/>
    <xf numFmtId="0" fontId="8" fillId="0" borderId="0" pivotButton="0" quotePrefix="0" xfId="0"/>
    <xf numFmtId="0" fontId="9" fillId="4" borderId="0" pivotButton="0" quotePrefix="0" xfId="0"/>
    <xf numFmtId="0" fontId="4" fillId="0" borderId="0" pivotButton="0" quotePrefix="0" xfId="0"/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24" customWidth="1" min="4" max="4"/>
    <col width="45" customWidth="1" min="5" max="5"/>
  </cols>
  <sheetData>
    <row r="1">
      <c r="A1" s="1" t="inlineStr">
        <is>
          <t>Teva HQ Finance — Org Redesign Scenario Comparison</t>
        </is>
      </c>
    </row>
    <row r="2">
      <c r="A2" s="2" t="inlineStr">
        <is>
          <t>Confidential — Draft for Steering Committee Discussion — August 2026</t>
        </is>
      </c>
    </row>
    <row r="3">
      <c r="A3" s="2" t="inlineStr">
        <is>
          <t>Fictional placeholder figures for project simulation purposes</t>
        </is>
      </c>
    </row>
    <row r="5" ht="30" customHeight="1">
      <c r="A5" s="3" t="inlineStr">
        <is>
          <t>Metric</t>
        </is>
      </c>
      <c r="B5" s="3" t="inlineStr">
        <is>
          <t>Scenario A: Baseline (No Change)</t>
        </is>
      </c>
      <c r="C5" s="3" t="inlineStr">
        <is>
          <t>Scenario B: Moderate Consolidation</t>
        </is>
      </c>
      <c r="D5" s="3" t="inlineStr">
        <is>
          <t>Scenario C: Aggressive Consolidation</t>
        </is>
      </c>
      <c r="E5" s="3" t="inlineStr">
        <is>
          <t>Notes / Assumptions</t>
        </is>
      </c>
    </row>
    <row r="6">
      <c r="A6" s="4" t="inlineStr">
        <is>
          <t>Total Headcount</t>
        </is>
      </c>
      <c r="B6" s="5" t="n">
        <v>25</v>
      </c>
      <c r="C6" s="5" t="n">
        <v>22</v>
      </c>
      <c r="D6" s="5" t="n">
        <v>19</v>
      </c>
      <c r="E6" s="6" t="inlineStr">
        <is>
          <t>Scenario B removes 3 IC roles via span-of-control fixes; Scenario C removes 6</t>
        </is>
      </c>
    </row>
    <row r="7">
      <c r="A7" s="4" t="inlineStr">
        <is>
          <t>Management Layers</t>
        </is>
      </c>
      <c r="B7" s="7" t="n">
        <v>4</v>
      </c>
      <c r="C7" s="7" t="n">
        <v>3</v>
      </c>
      <c r="D7" s="7" t="n">
        <v>3</v>
      </c>
      <c r="E7" s="6" t="inlineStr">
        <is>
          <t>Collapse Senior Manager layer in Controllership under Scenario B/C</t>
        </is>
      </c>
    </row>
    <row r="8">
      <c r="A8" s="4" t="inlineStr">
        <is>
          <t>Avg. Span of Control</t>
        </is>
      </c>
      <c r="B8" s="8" t="n">
        <v>2.8</v>
      </c>
      <c r="C8" s="8" t="n">
        <v>3.6</v>
      </c>
      <c r="D8" s="8" t="n">
        <v>4.2</v>
      </c>
      <c r="E8" s="6" t="inlineStr">
        <is>
          <t>Target span of control per leading-practice benchmark: 5-7 for transactional teams</t>
        </is>
      </c>
    </row>
    <row r="9">
      <c r="A9" s="4" t="inlineStr">
        <is>
          <t>Total Annual Base Salary Cost (ILS)</t>
        </is>
      </c>
      <c r="B9" s="9">
        <f>B6*268000</f>
        <v/>
      </c>
      <c r="C9" s="9">
        <f>C6*268000</f>
        <v/>
      </c>
      <c r="D9" s="9">
        <f>D6*268000</f>
        <v/>
      </c>
      <c r="E9" s="6" t="inlineStr">
        <is>
          <t>Formula-driven, see below</t>
        </is>
      </c>
    </row>
    <row r="10">
      <c r="A10" s="4" t="inlineStr">
        <is>
          <t>Employer On-Cost Loading Factor</t>
        </is>
      </c>
      <c r="B10" s="10" t="n">
        <v>0.28</v>
      </c>
      <c r="C10" s="10" t="n">
        <v>0.28</v>
      </c>
      <c r="D10" s="10" t="n">
        <v>0.28</v>
      </c>
      <c r="E10" s="6" t="inlineStr">
        <is>
          <t>Consistent with 'Org Chart Current State' workbook assumption</t>
        </is>
      </c>
    </row>
    <row r="11">
      <c r="A11" s="4" t="inlineStr">
        <is>
          <t>Total Fully-Loaded Cost (ILS)</t>
        </is>
      </c>
      <c r="B11" s="9">
        <f>B9*(1+B10)</f>
        <v/>
      </c>
      <c r="C11" s="9">
        <f>C9*(1+C10)</f>
        <v/>
      </c>
      <c r="D11" s="9">
        <f>D9*(1+D10)</f>
        <v/>
      </c>
      <c r="E11" s="6" t="inlineStr">
        <is>
          <t>Formula-driven, see below</t>
        </is>
      </c>
    </row>
    <row r="12">
      <c r="A12" s="4" t="inlineStr">
        <is>
          <t>One-Time Severance Cost (ILS)</t>
        </is>
      </c>
      <c r="B12" s="11" t="n">
        <v>0</v>
      </c>
      <c r="C12" s="11" t="n">
        <v>850000</v>
      </c>
      <c r="D12" s="11" t="n">
        <v>1650000</v>
      </c>
      <c r="E12" s="6" t="inlineStr">
        <is>
          <t>Estimated at 3 months salary + statutory per departing employee (placeholder)</t>
        </is>
      </c>
    </row>
    <row r="13">
      <c r="A13" s="4" t="inlineStr">
        <is>
          <t>Estimated Annual Run-Rate Savings (ILS)</t>
        </is>
      </c>
      <c r="B13" s="9">
        <f>$B$12-B12</f>
        <v/>
      </c>
      <c r="C13" s="9">
        <f>$B$12-C12</f>
        <v/>
      </c>
      <c r="D13" s="9">
        <f>$B$12-D12</f>
        <v/>
      </c>
      <c r="E13" s="6" t="inlineStr">
        <is>
          <t>Formula-driven, see below</t>
        </is>
      </c>
    </row>
    <row r="14">
      <c r="A14" s="4" t="inlineStr">
        <is>
          <t>Payback Period (Months)</t>
        </is>
      </c>
      <c r="B14" s="8">
        <f>IF(B15&gt;0,B13/(B15/12),"N/A")</f>
        <v/>
      </c>
      <c r="C14" s="8">
        <f>IF(C15&gt;0,C13/(C15/12),"N/A")</f>
        <v/>
      </c>
      <c r="D14" s="8">
        <f>IF(D15&gt;0,D13/(D15/12),"N/A")</f>
        <v/>
      </c>
      <c r="E14" s="6" t="inlineStr">
        <is>
          <t>Formula-driven: Severance / (Savings/12)</t>
        </is>
      </c>
    </row>
    <row r="15">
      <c r="A15" s="4" t="inlineStr">
        <is>
          <t>Employee Relations Risk</t>
        </is>
      </c>
      <c r="B15" s="7" t="inlineStr">
        <is>
          <t>Low</t>
        </is>
      </c>
      <c r="C15" s="7" t="inlineStr">
        <is>
          <t>Medium</t>
        </is>
      </c>
      <c r="D15" s="7" t="inlineStr">
        <is>
          <t>High</t>
        </is>
      </c>
      <c r="E15" s="6" t="inlineStr">
        <is>
          <t>Qualitative assessment — see Steering Committee deck for detail</t>
        </is>
      </c>
    </row>
    <row r="16">
      <c r="A16" s="4" t="inlineStr">
        <is>
          <t>Implementation Timeline (Months)</t>
        </is>
      </c>
      <c r="B16" s="7" t="n">
        <v>0</v>
      </c>
      <c r="C16" s="7" t="n">
        <v>4</v>
      </c>
      <c r="D16" s="7" t="n">
        <v>7</v>
      </c>
      <c r="E16" s="6" t="inlineStr">
        <is>
          <t>Includes consultation, notice periods per Israeli labor law</t>
        </is>
      </c>
    </row>
    <row r="18">
      <c r="A18" s="12" t="inlineStr">
        <is>
          <t>Recommended Scenario</t>
        </is>
      </c>
      <c r="C18" s="13" t="inlineStr">
        <is>
          <t>Scenario B — Moderate Consolidation</t>
        </is>
      </c>
    </row>
    <row r="19">
      <c r="A19" s="14" t="inlineStr">
        <is>
          <t>Rationale:</t>
        </is>
      </c>
      <c r="B19" s="15" t="inlineStr">
        <is>
          <t>Best balance of cost savings (~11% payroll reduction) against employee relations risk and implementation complexity. Scenario C's incremental savings do not justify the added severance cost and organizational disruption within the current planning horizon.</t>
        </is>
      </c>
    </row>
  </sheetData>
  <mergeCells count="4">
    <mergeCell ref="A2:F2"/>
    <mergeCell ref="A1:F1"/>
    <mergeCell ref="B19:E19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2026-08-20T11:50:02Z</dcterms:created>
  <dcterms:modified xmlns:dcterms="http://purl.org/dc/terms/" xmlns:xsi="http://www.w3.org/2001/XMLSchema-instance" xsi:type="dcterms:W3CDTF">2026-08-20T11:50:02Z</dcterms:modified>
</cp:coreProperties>
</file>