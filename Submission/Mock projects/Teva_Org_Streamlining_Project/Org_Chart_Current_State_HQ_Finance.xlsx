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rrent Org Roster" sheetId="2" state="visible" r:id="rId2"/>
    <sheet xmlns:r="http://schemas.openxmlformats.org/officeDocument/2006/relationships" name="Headcount Summary" sheetId="3" state="visible" r:id="rId3"/>
    <sheet xmlns:r="http://schemas.openxmlformats.org/officeDocument/2006/relationships" name="Span of Control" sheetId="4" state="visible" r:id="rId4"/>
    <sheet xmlns:r="http://schemas.openxmlformats.org/officeDocument/2006/relationships" name="Compensation 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1F3864"/>
      <sz val="14"/>
    </font>
    <font>
      <name val="Arial"/>
      <i val="1"/>
      <color rgb="00666666"/>
      <sz val="12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666666"/>
      <sz val="10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9" fillId="2" borderId="1" applyAlignment="1" pivotButton="0" quotePrefix="0" xfId="0">
      <alignment horizontal="center" wrapText="1"/>
    </xf>
    <xf numFmtId="0" fontId="4" fillId="3" borderId="1" pivotButton="0" quotePrefix="0" xfId="0"/>
    <xf numFmtId="3" fontId="4" fillId="3" borderId="1" pivotButton="0" quotePrefix="0" xfId="0"/>
    <xf numFmtId="3" fontId="5" fillId="0" borderId="0" pivotButton="0" quotePrefix="0" xfId="0"/>
    <xf numFmtId="165" fontId="10" fillId="4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Teva Pharmaceuticals — HQ Finance Function</t>
        </is>
      </c>
    </row>
    <row r="3">
      <c r="B3" s="2" t="inlineStr">
        <is>
          <t>Organizational Streamlining Engagement</t>
        </is>
      </c>
    </row>
    <row r="4">
      <c r="B4" s="3" t="inlineStr">
        <is>
          <t>Current-State Headcount &amp; Org Data — Working File</t>
        </is>
      </c>
    </row>
    <row r="6">
      <c r="B6" s="4" t="inlineStr">
        <is>
          <t>Prepared by:</t>
        </is>
      </c>
    </row>
    <row r="7">
      <c r="B7" s="5" t="inlineStr">
        <is>
          <t>Maayan Chen, Engagement Lead — Meridian Strategy Partners</t>
        </is>
      </c>
    </row>
    <row r="8">
      <c r="B8" s="4" t="inlineStr">
        <is>
          <t>Client contact:</t>
        </is>
      </c>
    </row>
    <row r="9">
      <c r="B9" s="5" t="inlineStr">
        <is>
          <t>Ronit Levi, VP HR Business Partner, Teva HQ Finance</t>
        </is>
      </c>
    </row>
    <row r="10">
      <c r="B10" s="4" t="inlineStr">
        <is>
          <t>Date:</t>
        </is>
      </c>
    </row>
    <row r="11">
      <c r="B11" s="5" t="inlineStr">
        <is>
          <t>August 2026</t>
        </is>
      </c>
    </row>
    <row r="12">
      <c r="B12" s="4" t="inlineStr">
        <is>
          <t>Classification:</t>
        </is>
      </c>
    </row>
    <row r="13">
      <c r="B13" s="6" t="inlineStr">
        <is>
          <t>Confidential — Internal Working Draft — Not for Distribution</t>
        </is>
      </c>
    </row>
    <row r="15">
      <c r="B15" s="7" t="inlineStr">
        <is>
          <t>NOTE: All names, titles, salary figures and org data in this workbook are</t>
        </is>
      </c>
    </row>
    <row r="16">
      <c r="B16" s="7" t="inlineStr">
        <is>
          <t>fictional placeholder data created for internal project simulation purposes only.</t>
        </is>
      </c>
    </row>
    <row r="18">
      <c r="B18" s="4" t="inlineStr">
        <is>
          <t>Contents</t>
        </is>
      </c>
    </row>
    <row r="19">
      <c r="B19" s="5" t="inlineStr">
        <is>
          <t>1. Current Org Roster (HQ Finance)</t>
        </is>
      </c>
    </row>
    <row r="20">
      <c r="B20" s="5" t="inlineStr">
        <is>
          <t>2. Headcount Summary by Department</t>
        </is>
      </c>
    </row>
    <row r="21">
      <c r="B21" s="5" t="inlineStr">
        <is>
          <t>3. Span of Control Analysis</t>
        </is>
      </c>
    </row>
    <row r="22">
      <c r="B22" s="5" t="inlineStr">
        <is>
          <t>4. Compensation Cost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2" customWidth="1" min="4" max="4"/>
    <col width="22" customWidth="1" min="5" max="5"/>
    <col width="11" customWidth="1" min="6" max="6"/>
    <col width="16" customWidth="1" min="7" max="7"/>
    <col width="12" customWidth="1" min="8" max="8"/>
    <col width="15" customWidth="1" min="9" max="9"/>
    <col width="12" customWidth="1" min="10" max="10"/>
    <col width="20" customWidth="1" min="11" max="11"/>
    <col width="8" customWidth="1" min="12" max="12"/>
    <col width="20" customWidth="1" min="13" max="13"/>
  </cols>
  <sheetData>
    <row r="1">
      <c r="A1" s="8" t="inlineStr">
        <is>
          <t>Teva HQ Finance — Current Org Roster (as of July 2026)</t>
        </is>
      </c>
    </row>
    <row r="2">
      <c r="A2" s="7" t="inlineStr">
        <is>
          <t>Source: HRIS export (SuccessFactors) reconciled with Finance org chart, July 2026 — fictional sample data</t>
        </is>
      </c>
    </row>
    <row r="4">
      <c r="A4" s="9" t="inlineStr">
        <is>
          <t>Employee ID</t>
        </is>
      </c>
      <c r="B4" s="9" t="inlineStr">
        <is>
          <t>Employee Name</t>
        </is>
      </c>
      <c r="C4" s="9" t="inlineStr">
        <is>
          <t>Title</t>
        </is>
      </c>
      <c r="D4" s="9" t="inlineStr">
        <is>
          <t>Department</t>
        </is>
      </c>
      <c r="E4" s="9" t="inlineStr">
        <is>
          <t>Sub-Team</t>
        </is>
      </c>
      <c r="F4" s="9" t="inlineStr">
        <is>
          <t>Manager ID</t>
        </is>
      </c>
      <c r="G4" s="9" t="inlineStr">
        <is>
          <t>Manager Name</t>
        </is>
      </c>
      <c r="H4" s="9" t="inlineStr">
        <is>
          <t>Level (Grade)</t>
        </is>
      </c>
      <c r="I4" s="9" t="inlineStr">
        <is>
          <t>Location</t>
        </is>
      </c>
      <c r="J4" s="9" t="inlineStr">
        <is>
          <t>Tenure (Years)</t>
        </is>
      </c>
      <c r="K4" s="9" t="inlineStr">
        <is>
          <t>Annual Base Salary (ILS)</t>
        </is>
      </c>
      <c r="L4" s="9" t="inlineStr">
        <is>
          <t>FTE %</t>
        </is>
      </c>
      <c r="M4" s="9" t="inlineStr">
        <is>
          <t>Role Type</t>
        </is>
      </c>
    </row>
    <row r="5">
      <c r="A5" s="10" t="inlineStr">
        <is>
          <t>E1001</t>
        </is>
      </c>
      <c r="B5" s="10" t="inlineStr">
        <is>
          <t>David Katz</t>
        </is>
      </c>
      <c r="C5" s="10" t="inlineStr">
        <is>
          <t>VP Finance, HQ</t>
        </is>
      </c>
      <c r="D5" s="10" t="inlineStr">
        <is>
          <t>Finance Leadership</t>
        </is>
      </c>
      <c r="E5" s="10" t="inlineStr">
        <is>
          <t>Leadership</t>
        </is>
      </c>
      <c r="F5" s="10" t="inlineStr"/>
      <c r="G5" s="10" t="inlineStr"/>
      <c r="H5" s="10" t="inlineStr">
        <is>
          <t>VP</t>
        </is>
      </c>
      <c r="I5" s="10" t="inlineStr">
        <is>
          <t>Tel Aviv (HQ)</t>
        </is>
      </c>
      <c r="J5" s="10" t="n">
        <v>9</v>
      </c>
      <c r="K5" s="11" t="n">
        <v>620000</v>
      </c>
      <c r="L5" s="12" t="n">
        <v>100</v>
      </c>
      <c r="M5" s="10" t="inlineStr">
        <is>
          <t>People Manager</t>
        </is>
      </c>
    </row>
    <row r="6">
      <c r="A6" s="10" t="inlineStr">
        <is>
          <t>E1002</t>
        </is>
      </c>
      <c r="B6" s="10" t="inlineStr">
        <is>
          <t>Noa Ben-David</t>
        </is>
      </c>
      <c r="C6" s="10" t="inlineStr">
        <is>
          <t>Director, Financial Planning &amp; Analysis</t>
        </is>
      </c>
      <c r="D6" s="10" t="inlineStr">
        <is>
          <t>FP&amp;A</t>
        </is>
      </c>
      <c r="E6" s="10" t="inlineStr">
        <is>
          <t>FP&amp;A Leadership</t>
        </is>
      </c>
      <c r="F6" s="10" t="inlineStr">
        <is>
          <t>E1001</t>
        </is>
      </c>
      <c r="G6" s="10" t="inlineStr">
        <is>
          <t>David Katz</t>
        </is>
      </c>
      <c r="H6" s="10" t="inlineStr">
        <is>
          <t>D1</t>
        </is>
      </c>
      <c r="I6" s="10" t="inlineStr">
        <is>
          <t>Tel Aviv (HQ)</t>
        </is>
      </c>
      <c r="J6" s="10" t="n">
        <v>7</v>
      </c>
      <c r="K6" s="11" t="n">
        <v>480000</v>
      </c>
      <c r="L6" s="12" t="n">
        <v>100</v>
      </c>
      <c r="M6" s="10" t="inlineStr">
        <is>
          <t>People Manager</t>
        </is>
      </c>
    </row>
    <row r="7">
      <c r="A7" s="10" t="inlineStr">
        <is>
          <t>E1003</t>
        </is>
      </c>
      <c r="B7" s="10" t="inlineStr">
        <is>
          <t>Amit Shalev</t>
        </is>
      </c>
      <c r="C7" s="10" t="inlineStr">
        <is>
          <t>Director, Controllership</t>
        </is>
      </c>
      <c r="D7" s="10" t="inlineStr">
        <is>
          <t>Controllership</t>
        </is>
      </c>
      <c r="E7" s="10" t="inlineStr">
        <is>
          <t>Controllership Leadership</t>
        </is>
      </c>
      <c r="F7" s="10" t="inlineStr">
        <is>
          <t>E1001</t>
        </is>
      </c>
      <c r="G7" s="10" t="inlineStr">
        <is>
          <t>David Katz</t>
        </is>
      </c>
      <c r="H7" s="10" t="inlineStr">
        <is>
          <t>D1</t>
        </is>
      </c>
      <c r="I7" s="10" t="inlineStr">
        <is>
          <t>Tel Aviv (HQ)</t>
        </is>
      </c>
      <c r="J7" s="10" t="n">
        <v>11</v>
      </c>
      <c r="K7" s="11" t="n">
        <v>495000</v>
      </c>
      <c r="L7" s="12" t="n">
        <v>100</v>
      </c>
      <c r="M7" s="10" t="inlineStr">
        <is>
          <t>People Manager</t>
        </is>
      </c>
    </row>
    <row r="8">
      <c r="A8" s="10" t="inlineStr">
        <is>
          <t>E1004</t>
        </is>
      </c>
      <c r="B8" s="10" t="inlineStr">
        <is>
          <t>Michal Ozer</t>
        </is>
      </c>
      <c r="C8" s="10" t="inlineStr">
        <is>
          <t>Director, Procurement Finance</t>
        </is>
      </c>
      <c r="D8" s="10" t="inlineStr">
        <is>
          <t>Procurement Finance</t>
        </is>
      </c>
      <c r="E8" s="10" t="inlineStr">
        <is>
          <t>Procurement Leadership</t>
        </is>
      </c>
      <c r="F8" s="10" t="inlineStr">
        <is>
          <t>E1001</t>
        </is>
      </c>
      <c r="G8" s="10" t="inlineStr">
        <is>
          <t>David Katz</t>
        </is>
      </c>
      <c r="H8" s="10" t="inlineStr">
        <is>
          <t>D1</t>
        </is>
      </c>
      <c r="I8" s="10" t="inlineStr">
        <is>
          <t>Tel Aviv (HQ)</t>
        </is>
      </c>
      <c r="J8" s="10" t="n">
        <v>6</v>
      </c>
      <c r="K8" s="11" t="n">
        <v>470000</v>
      </c>
      <c r="L8" s="12" t="n">
        <v>100</v>
      </c>
      <c r="M8" s="10" t="inlineStr">
        <is>
          <t>People Manager</t>
        </is>
      </c>
    </row>
    <row r="9">
      <c r="A9" s="10" t="inlineStr">
        <is>
          <t>E1005</t>
        </is>
      </c>
      <c r="B9" s="10" t="inlineStr">
        <is>
          <t>Yossi Mizrahi</t>
        </is>
      </c>
      <c r="C9" s="10" t="inlineStr">
        <is>
          <t>Senior Manager, FP&amp;A</t>
        </is>
      </c>
      <c r="D9" s="10" t="inlineStr">
        <is>
          <t>FP&amp;A</t>
        </is>
      </c>
      <c r="E9" s="10" t="inlineStr">
        <is>
          <t>Corporate FP&amp;A</t>
        </is>
      </c>
      <c r="F9" s="10" t="inlineStr">
        <is>
          <t>E1002</t>
        </is>
      </c>
      <c r="G9" s="10" t="inlineStr">
        <is>
          <t>Noa Ben-David</t>
        </is>
      </c>
      <c r="H9" s="10" t="inlineStr">
        <is>
          <t>M2</t>
        </is>
      </c>
      <c r="I9" s="10" t="inlineStr">
        <is>
          <t>Tel Aviv (HQ)</t>
        </is>
      </c>
      <c r="J9" s="10" t="n">
        <v>5</v>
      </c>
      <c r="K9" s="11" t="n">
        <v>340000</v>
      </c>
      <c r="L9" s="12" t="n">
        <v>100</v>
      </c>
      <c r="M9" s="10" t="inlineStr">
        <is>
          <t>People Manager</t>
        </is>
      </c>
    </row>
    <row r="10">
      <c r="A10" s="10" t="inlineStr">
        <is>
          <t>E1006</t>
        </is>
      </c>
      <c r="B10" s="10" t="inlineStr">
        <is>
          <t>Tamar Avraham</t>
        </is>
      </c>
      <c r="C10" s="10" t="inlineStr">
        <is>
          <t>Senior Manager, FP&amp;A</t>
        </is>
      </c>
      <c r="D10" s="10" t="inlineStr">
        <is>
          <t>FP&amp;A</t>
        </is>
      </c>
      <c r="E10" s="10" t="inlineStr">
        <is>
          <t>Commercial FP&amp;A</t>
        </is>
      </c>
      <c r="F10" s="10" t="inlineStr">
        <is>
          <t>E1002</t>
        </is>
      </c>
      <c r="G10" s="10" t="inlineStr">
        <is>
          <t>Noa Ben-David</t>
        </is>
      </c>
      <c r="H10" s="10" t="inlineStr">
        <is>
          <t>M2</t>
        </is>
      </c>
      <c r="I10" s="10" t="inlineStr">
        <is>
          <t>Tel Aviv (HQ)</t>
        </is>
      </c>
      <c r="J10" s="10" t="n">
        <v>4</v>
      </c>
      <c r="K10" s="11" t="n">
        <v>335000</v>
      </c>
      <c r="L10" s="12" t="n">
        <v>100</v>
      </c>
      <c r="M10" s="10" t="inlineStr">
        <is>
          <t>People Manager</t>
        </is>
      </c>
    </row>
    <row r="11">
      <c r="A11" s="10" t="inlineStr">
        <is>
          <t>E1007</t>
        </is>
      </c>
      <c r="B11" s="10" t="inlineStr">
        <is>
          <t>Eli Cohen</t>
        </is>
      </c>
      <c r="C11" s="10" t="inlineStr">
        <is>
          <t>FP&amp;A Analyst II</t>
        </is>
      </c>
      <c r="D11" s="10" t="inlineStr">
        <is>
          <t>FP&amp;A</t>
        </is>
      </c>
      <c r="E11" s="10" t="inlineStr">
        <is>
          <t>Corporate FP&amp;A</t>
        </is>
      </c>
      <c r="F11" s="10" t="inlineStr">
        <is>
          <t>E1005</t>
        </is>
      </c>
      <c r="G11" s="10" t="inlineStr">
        <is>
          <t>Yossi Mizrahi</t>
        </is>
      </c>
      <c r="H11" s="10" t="inlineStr">
        <is>
          <t>P3</t>
        </is>
      </c>
      <c r="I11" s="10" t="inlineStr">
        <is>
          <t>Tel Aviv (HQ)</t>
        </is>
      </c>
      <c r="J11" s="10" t="n">
        <v>3</v>
      </c>
      <c r="K11" s="11" t="n">
        <v>220000</v>
      </c>
      <c r="L11" s="12" t="n">
        <v>100</v>
      </c>
      <c r="M11" s="10" t="inlineStr">
        <is>
          <t>Individual Contributor</t>
        </is>
      </c>
    </row>
    <row r="12">
      <c r="A12" s="10" t="inlineStr">
        <is>
          <t>E1008</t>
        </is>
      </c>
      <c r="B12" s="10" t="inlineStr">
        <is>
          <t>Shira Peretz</t>
        </is>
      </c>
      <c r="C12" s="10" t="inlineStr">
        <is>
          <t>FP&amp;A Analyst II</t>
        </is>
      </c>
      <c r="D12" s="10" t="inlineStr">
        <is>
          <t>FP&amp;A</t>
        </is>
      </c>
      <c r="E12" s="10" t="inlineStr">
        <is>
          <t>Corporate FP&amp;A</t>
        </is>
      </c>
      <c r="F12" s="10" t="inlineStr">
        <is>
          <t>E1005</t>
        </is>
      </c>
      <c r="G12" s="10" t="inlineStr">
        <is>
          <t>Yossi Mizrahi</t>
        </is>
      </c>
      <c r="H12" s="10" t="inlineStr">
        <is>
          <t>P3</t>
        </is>
      </c>
      <c r="I12" s="10" t="inlineStr">
        <is>
          <t>Tel Aviv (HQ)</t>
        </is>
      </c>
      <c r="J12" s="10" t="n">
        <v>2</v>
      </c>
      <c r="K12" s="11" t="n">
        <v>215000</v>
      </c>
      <c r="L12" s="12" t="n">
        <v>100</v>
      </c>
      <c r="M12" s="10" t="inlineStr">
        <is>
          <t>Individual Contributor</t>
        </is>
      </c>
    </row>
    <row r="13">
      <c r="A13" s="10" t="inlineStr">
        <is>
          <t>E1009</t>
        </is>
      </c>
      <c r="B13" s="10" t="inlineStr">
        <is>
          <t>Roi Green</t>
        </is>
      </c>
      <c r="C13" s="10" t="inlineStr">
        <is>
          <t>FP&amp;A Analyst I</t>
        </is>
      </c>
      <c r="D13" s="10" t="inlineStr">
        <is>
          <t>FP&amp;A</t>
        </is>
      </c>
      <c r="E13" s="10" t="inlineStr">
        <is>
          <t>Commercial FP&amp;A</t>
        </is>
      </c>
      <c r="F13" s="10" t="inlineStr">
        <is>
          <t>E1006</t>
        </is>
      </c>
      <c r="G13" s="10" t="inlineStr">
        <is>
          <t>Tamar Avraham</t>
        </is>
      </c>
      <c r="H13" s="10" t="inlineStr">
        <is>
          <t>P2</t>
        </is>
      </c>
      <c r="I13" s="10" t="inlineStr">
        <is>
          <t>Tel Aviv (HQ)</t>
        </is>
      </c>
      <c r="J13" s="10" t="n">
        <v>1</v>
      </c>
      <c r="K13" s="11" t="n">
        <v>175000</v>
      </c>
      <c r="L13" s="12" t="n">
        <v>100</v>
      </c>
      <c r="M13" s="10" t="inlineStr">
        <is>
          <t>Individual Contributor</t>
        </is>
      </c>
    </row>
    <row r="14">
      <c r="A14" s="10" t="inlineStr">
        <is>
          <t>E1010</t>
        </is>
      </c>
      <c r="B14" s="10" t="inlineStr">
        <is>
          <t>Dana Segal</t>
        </is>
      </c>
      <c r="C14" s="10" t="inlineStr">
        <is>
          <t>FP&amp;A Analyst I</t>
        </is>
      </c>
      <c r="D14" s="10" t="inlineStr">
        <is>
          <t>FP&amp;A</t>
        </is>
      </c>
      <c r="E14" s="10" t="inlineStr">
        <is>
          <t>Commercial FP&amp;A</t>
        </is>
      </c>
      <c r="F14" s="10" t="inlineStr">
        <is>
          <t>E1006</t>
        </is>
      </c>
      <c r="G14" s="10" t="inlineStr">
        <is>
          <t>Tamar Avraham</t>
        </is>
      </c>
      <c r="H14" s="10" t="inlineStr">
        <is>
          <t>P2</t>
        </is>
      </c>
      <c r="I14" s="10" t="inlineStr">
        <is>
          <t>Tel Aviv (HQ)</t>
        </is>
      </c>
      <c r="J14" s="10" t="n">
        <v>2</v>
      </c>
      <c r="K14" s="11" t="n">
        <v>180000</v>
      </c>
      <c r="L14" s="12" t="n">
        <v>100</v>
      </c>
      <c r="M14" s="10" t="inlineStr">
        <is>
          <t>Individual Contributor</t>
        </is>
      </c>
    </row>
    <row r="15">
      <c r="A15" s="10" t="inlineStr">
        <is>
          <t>E1011</t>
        </is>
      </c>
      <c r="B15" s="10" t="inlineStr">
        <is>
          <t>Omer Barak</t>
        </is>
      </c>
      <c r="C15" s="10" t="inlineStr">
        <is>
          <t>FP&amp;A Analyst I</t>
        </is>
      </c>
      <c r="D15" s="10" t="inlineStr">
        <is>
          <t>FP&amp;A</t>
        </is>
      </c>
      <c r="E15" s="10" t="inlineStr">
        <is>
          <t>Commercial FP&amp;A</t>
        </is>
      </c>
      <c r="F15" s="10" t="inlineStr">
        <is>
          <t>E1006</t>
        </is>
      </c>
      <c r="G15" s="10" t="inlineStr">
        <is>
          <t>Tamar Avraham</t>
        </is>
      </c>
      <c r="H15" s="10" t="inlineStr">
        <is>
          <t>P2</t>
        </is>
      </c>
      <c r="I15" s="10" t="inlineStr">
        <is>
          <t>Tel Aviv (HQ)</t>
        </is>
      </c>
      <c r="J15" s="10" t="n">
        <v>1</v>
      </c>
      <c r="K15" s="11" t="n">
        <v>172000</v>
      </c>
      <c r="L15" s="12" t="n">
        <v>100</v>
      </c>
      <c r="M15" s="10" t="inlineStr">
        <is>
          <t>Individual Contributor</t>
        </is>
      </c>
    </row>
    <row r="16">
      <c r="A16" s="10" t="inlineStr">
        <is>
          <t>E1012</t>
        </is>
      </c>
      <c r="B16" s="10" t="inlineStr">
        <is>
          <t>Liat Nahmias</t>
        </is>
      </c>
      <c r="C16" s="10" t="inlineStr">
        <is>
          <t>Senior Manager, Controllership</t>
        </is>
      </c>
      <c r="D16" s="10" t="inlineStr">
        <is>
          <t>Controllership</t>
        </is>
      </c>
      <c r="E16" s="10" t="inlineStr">
        <is>
          <t>General Ledger</t>
        </is>
      </c>
      <c r="F16" s="10" t="inlineStr">
        <is>
          <t>E1003</t>
        </is>
      </c>
      <c r="G16" s="10" t="inlineStr">
        <is>
          <t>Amit Shalev</t>
        </is>
      </c>
      <c r="H16" s="10" t="inlineStr">
        <is>
          <t>M2</t>
        </is>
      </c>
      <c r="I16" s="10" t="inlineStr">
        <is>
          <t>Tel Aviv (HQ)</t>
        </is>
      </c>
      <c r="J16" s="10" t="n">
        <v>8</v>
      </c>
      <c r="K16" s="11" t="n">
        <v>330000</v>
      </c>
      <c r="L16" s="12" t="n">
        <v>100</v>
      </c>
      <c r="M16" s="10" t="inlineStr">
        <is>
          <t>People Manager</t>
        </is>
      </c>
    </row>
    <row r="17">
      <c r="A17" s="10" t="inlineStr">
        <is>
          <t>E1013</t>
        </is>
      </c>
      <c r="B17" s="10" t="inlineStr">
        <is>
          <t>Guy Refael</t>
        </is>
      </c>
      <c r="C17" s="10" t="inlineStr">
        <is>
          <t>Senior Manager, Controllership</t>
        </is>
      </c>
      <c r="D17" s="10" t="inlineStr">
        <is>
          <t>Controllership</t>
        </is>
      </c>
      <c r="E17" s="10" t="inlineStr">
        <is>
          <t>Statutory Reporting</t>
        </is>
      </c>
      <c r="F17" s="10" t="inlineStr">
        <is>
          <t>E1003</t>
        </is>
      </c>
      <c r="G17" s="10" t="inlineStr">
        <is>
          <t>Amit Shalev</t>
        </is>
      </c>
      <c r="H17" s="10" t="inlineStr">
        <is>
          <t>M2</t>
        </is>
      </c>
      <c r="I17" s="10" t="inlineStr">
        <is>
          <t>Tel Aviv (HQ)</t>
        </is>
      </c>
      <c r="J17" s="10" t="n">
        <v>6</v>
      </c>
      <c r="K17" s="11" t="n">
        <v>325000</v>
      </c>
      <c r="L17" s="12" t="n">
        <v>100</v>
      </c>
      <c r="M17" s="10" t="inlineStr">
        <is>
          <t>People Manager</t>
        </is>
      </c>
    </row>
    <row r="18">
      <c r="A18" s="10" t="inlineStr">
        <is>
          <t>E1014</t>
        </is>
      </c>
      <c r="B18" s="10" t="inlineStr">
        <is>
          <t>Adi Lachman</t>
        </is>
      </c>
      <c r="C18" s="10" t="inlineStr">
        <is>
          <t>Accountant II</t>
        </is>
      </c>
      <c r="D18" s="10" t="inlineStr">
        <is>
          <t>Controllership</t>
        </is>
      </c>
      <c r="E18" s="10" t="inlineStr">
        <is>
          <t>General Ledger</t>
        </is>
      </c>
      <c r="F18" s="10" t="inlineStr">
        <is>
          <t>E1012</t>
        </is>
      </c>
      <c r="G18" s="10" t="inlineStr">
        <is>
          <t>Liat Nahmias</t>
        </is>
      </c>
      <c r="H18" s="10" t="inlineStr">
        <is>
          <t>P3</t>
        </is>
      </c>
      <c r="I18" s="10" t="inlineStr">
        <is>
          <t>Tel Aviv (HQ)</t>
        </is>
      </c>
      <c r="J18" s="10" t="n">
        <v>4</v>
      </c>
      <c r="K18" s="11" t="n">
        <v>210000</v>
      </c>
      <c r="L18" s="12" t="n">
        <v>100</v>
      </c>
      <c r="M18" s="10" t="inlineStr">
        <is>
          <t>Individual Contributor</t>
        </is>
      </c>
    </row>
    <row r="19">
      <c r="A19" s="10" t="inlineStr">
        <is>
          <t>E1015</t>
        </is>
      </c>
      <c r="B19" s="10" t="inlineStr">
        <is>
          <t>Nir Aharoni</t>
        </is>
      </c>
      <c r="C19" s="10" t="inlineStr">
        <is>
          <t>Accountant II</t>
        </is>
      </c>
      <c r="D19" s="10" t="inlineStr">
        <is>
          <t>Controllership</t>
        </is>
      </c>
      <c r="E19" s="10" t="inlineStr">
        <is>
          <t>General Ledger</t>
        </is>
      </c>
      <c r="F19" s="10" t="inlineStr">
        <is>
          <t>E1012</t>
        </is>
      </c>
      <c r="G19" s="10" t="inlineStr">
        <is>
          <t>Liat Nahmias</t>
        </is>
      </c>
      <c r="H19" s="10" t="inlineStr">
        <is>
          <t>P3</t>
        </is>
      </c>
      <c r="I19" s="10" t="inlineStr">
        <is>
          <t>Tel Aviv (HQ)</t>
        </is>
      </c>
      <c r="J19" s="10" t="n">
        <v>3</v>
      </c>
      <c r="K19" s="11" t="n">
        <v>208000</v>
      </c>
      <c r="L19" s="12" t="n">
        <v>100</v>
      </c>
      <c r="M19" s="10" t="inlineStr">
        <is>
          <t>Individual Contributor</t>
        </is>
      </c>
    </row>
    <row r="20">
      <c r="A20" s="10" t="inlineStr">
        <is>
          <t>E1016</t>
        </is>
      </c>
      <c r="B20" s="10" t="inlineStr">
        <is>
          <t>Keren Malka</t>
        </is>
      </c>
      <c r="C20" s="10" t="inlineStr">
        <is>
          <t>Accountant I</t>
        </is>
      </c>
      <c r="D20" s="10" t="inlineStr">
        <is>
          <t>Controllership</t>
        </is>
      </c>
      <c r="E20" s="10" t="inlineStr">
        <is>
          <t>General Ledger</t>
        </is>
      </c>
      <c r="F20" s="10" t="inlineStr">
        <is>
          <t>E1012</t>
        </is>
      </c>
      <c r="G20" s="10" t="inlineStr">
        <is>
          <t>Liat Nahmias</t>
        </is>
      </c>
      <c r="H20" s="10" t="inlineStr">
        <is>
          <t>P2</t>
        </is>
      </c>
      <c r="I20" s="10" t="inlineStr">
        <is>
          <t>Tel Aviv (HQ)</t>
        </is>
      </c>
      <c r="J20" s="10" t="n">
        <v>1</v>
      </c>
      <c r="K20" s="11" t="n">
        <v>165000</v>
      </c>
      <c r="L20" s="12" t="n">
        <v>100</v>
      </c>
      <c r="M20" s="10" t="inlineStr">
        <is>
          <t>Individual Contributor</t>
        </is>
      </c>
    </row>
    <row r="21">
      <c r="A21" s="10" t="inlineStr">
        <is>
          <t>E1017</t>
        </is>
      </c>
      <c r="B21" s="10" t="inlineStr">
        <is>
          <t>Yaron Peled</t>
        </is>
      </c>
      <c r="C21" s="10" t="inlineStr">
        <is>
          <t>Accountant II</t>
        </is>
      </c>
      <c r="D21" s="10" t="inlineStr">
        <is>
          <t>Controllership</t>
        </is>
      </c>
      <c r="E21" s="10" t="inlineStr">
        <is>
          <t>Statutory Reporting</t>
        </is>
      </c>
      <c r="F21" s="10" t="inlineStr">
        <is>
          <t>E1013</t>
        </is>
      </c>
      <c r="G21" s="10" t="inlineStr">
        <is>
          <t>Guy Refael</t>
        </is>
      </c>
      <c r="H21" s="10" t="inlineStr">
        <is>
          <t>P3</t>
        </is>
      </c>
      <c r="I21" s="10" t="inlineStr">
        <is>
          <t>Tel Aviv (HQ)</t>
        </is>
      </c>
      <c r="J21" s="10" t="n">
        <v>5</v>
      </c>
      <c r="K21" s="11" t="n">
        <v>212000</v>
      </c>
      <c r="L21" s="12" t="n">
        <v>100</v>
      </c>
      <c r="M21" s="10" t="inlineStr">
        <is>
          <t>Individual Contributor</t>
        </is>
      </c>
    </row>
    <row r="22">
      <c r="A22" s="10" t="inlineStr">
        <is>
          <t>E1018</t>
        </is>
      </c>
      <c r="B22" s="10" t="inlineStr">
        <is>
          <t>Hila Marom</t>
        </is>
      </c>
      <c r="C22" s="10" t="inlineStr">
        <is>
          <t>Accountant I</t>
        </is>
      </c>
      <c r="D22" s="10" t="inlineStr">
        <is>
          <t>Controllership</t>
        </is>
      </c>
      <c r="E22" s="10" t="inlineStr">
        <is>
          <t>Statutory Reporting</t>
        </is>
      </c>
      <c r="F22" s="10" t="inlineStr">
        <is>
          <t>E1013</t>
        </is>
      </c>
      <c r="G22" s="10" t="inlineStr">
        <is>
          <t>Guy Refael</t>
        </is>
      </c>
      <c r="H22" s="10" t="inlineStr">
        <is>
          <t>P2</t>
        </is>
      </c>
      <c r="I22" s="10" t="inlineStr">
        <is>
          <t>Tel Aviv (HQ)</t>
        </is>
      </c>
      <c r="J22" s="10" t="n">
        <v>2</v>
      </c>
      <c r="K22" s="11" t="n">
        <v>168000</v>
      </c>
      <c r="L22" s="12" t="n">
        <v>100</v>
      </c>
      <c r="M22" s="10" t="inlineStr">
        <is>
          <t>Individual Contributor</t>
        </is>
      </c>
    </row>
    <row r="23">
      <c r="A23" s="10" t="inlineStr">
        <is>
          <t>E1019</t>
        </is>
      </c>
      <c r="B23" s="10" t="inlineStr">
        <is>
          <t>Assaf Golan</t>
        </is>
      </c>
      <c r="C23" s="10" t="inlineStr">
        <is>
          <t>Accountant I</t>
        </is>
      </c>
      <c r="D23" s="10" t="inlineStr">
        <is>
          <t>Controllership</t>
        </is>
      </c>
      <c r="E23" s="10" t="inlineStr">
        <is>
          <t>Statutory Reporting</t>
        </is>
      </c>
      <c r="F23" s="10" t="inlineStr">
        <is>
          <t>E1013</t>
        </is>
      </c>
      <c r="G23" s="10" t="inlineStr">
        <is>
          <t>Guy Refael</t>
        </is>
      </c>
      <c r="H23" s="10" t="inlineStr">
        <is>
          <t>P2</t>
        </is>
      </c>
      <c r="I23" s="10" t="inlineStr">
        <is>
          <t>Tel Aviv (HQ)</t>
        </is>
      </c>
      <c r="J23" s="10" t="n">
        <v>1</v>
      </c>
      <c r="K23" s="11" t="n">
        <v>163000</v>
      </c>
      <c r="L23" s="12" t="n">
        <v>100</v>
      </c>
      <c r="M23" s="10" t="inlineStr">
        <is>
          <t>Individual Contributor</t>
        </is>
      </c>
    </row>
    <row r="24">
      <c r="A24" s="10" t="inlineStr">
        <is>
          <t>E1020</t>
        </is>
      </c>
      <c r="B24" s="10" t="inlineStr">
        <is>
          <t>Rotem Cohen-Levi</t>
        </is>
      </c>
      <c r="C24" s="10" t="inlineStr">
        <is>
          <t>Senior Manager, Procurement Finance</t>
        </is>
      </c>
      <c r="D24" s="10" t="inlineStr">
        <is>
          <t>Procurement Finance</t>
        </is>
      </c>
      <c r="E24" s="10" t="inlineStr">
        <is>
          <t>Direct Procurement</t>
        </is>
      </c>
      <c r="F24" s="10" t="inlineStr">
        <is>
          <t>E1004</t>
        </is>
      </c>
      <c r="G24" s="10" t="inlineStr">
        <is>
          <t>Michal Ozer</t>
        </is>
      </c>
      <c r="H24" s="10" t="inlineStr">
        <is>
          <t>M2</t>
        </is>
      </c>
      <c r="I24" s="10" t="inlineStr">
        <is>
          <t>Tel Aviv (HQ)</t>
        </is>
      </c>
      <c r="J24" s="10" t="n">
        <v>5</v>
      </c>
      <c r="K24" s="11" t="n">
        <v>320000</v>
      </c>
      <c r="L24" s="12" t="n">
        <v>100</v>
      </c>
      <c r="M24" s="10" t="inlineStr">
        <is>
          <t>People Manager</t>
        </is>
      </c>
    </row>
    <row r="25">
      <c r="A25" s="10" t="inlineStr">
        <is>
          <t>E1021</t>
        </is>
      </c>
      <c r="B25" s="10" t="inlineStr">
        <is>
          <t>Boaz Tzur</t>
        </is>
      </c>
      <c r="C25" s="10" t="inlineStr">
        <is>
          <t>Procurement Finance Analyst</t>
        </is>
      </c>
      <c r="D25" s="10" t="inlineStr">
        <is>
          <t>Procurement Finance</t>
        </is>
      </c>
      <c r="E25" s="10" t="inlineStr">
        <is>
          <t>Direct Procurement</t>
        </is>
      </c>
      <c r="F25" s="10" t="inlineStr">
        <is>
          <t>E1020</t>
        </is>
      </c>
      <c r="G25" s="10" t="inlineStr">
        <is>
          <t>Rotem Cohen-Levi</t>
        </is>
      </c>
      <c r="H25" s="10" t="inlineStr">
        <is>
          <t>P3</t>
        </is>
      </c>
      <c r="I25" s="10" t="inlineStr">
        <is>
          <t>Tel Aviv (HQ)</t>
        </is>
      </c>
      <c r="J25" s="10" t="n">
        <v>3</v>
      </c>
      <c r="K25" s="11" t="n">
        <v>205000</v>
      </c>
      <c r="L25" s="12" t="n">
        <v>100</v>
      </c>
      <c r="M25" s="10" t="inlineStr">
        <is>
          <t>Individual Contributor</t>
        </is>
      </c>
    </row>
    <row r="26">
      <c r="A26" s="10" t="inlineStr">
        <is>
          <t>E1022</t>
        </is>
      </c>
      <c r="B26" s="10" t="inlineStr">
        <is>
          <t>Maya Erez</t>
        </is>
      </c>
      <c r="C26" s="10" t="inlineStr">
        <is>
          <t>Procurement Finance Analyst</t>
        </is>
      </c>
      <c r="D26" s="10" t="inlineStr">
        <is>
          <t>Procurement Finance</t>
        </is>
      </c>
      <c r="E26" s="10" t="inlineStr">
        <is>
          <t>Indirect Procurement</t>
        </is>
      </c>
      <c r="F26" s="10" t="inlineStr">
        <is>
          <t>E1020</t>
        </is>
      </c>
      <c r="G26" s="10" t="inlineStr">
        <is>
          <t>Rotem Cohen-Levi</t>
        </is>
      </c>
      <c r="H26" s="10" t="inlineStr">
        <is>
          <t>P2</t>
        </is>
      </c>
      <c r="I26" s="10" t="inlineStr">
        <is>
          <t>Tel Aviv (HQ)</t>
        </is>
      </c>
      <c r="J26" s="10" t="n">
        <v>2</v>
      </c>
      <c r="K26" s="11" t="n">
        <v>178000</v>
      </c>
      <c r="L26" s="12" t="n">
        <v>100</v>
      </c>
      <c r="M26" s="10" t="inlineStr">
        <is>
          <t>Individual Contributor</t>
        </is>
      </c>
    </row>
    <row r="27">
      <c r="A27" s="10" t="inlineStr">
        <is>
          <t>E1023</t>
        </is>
      </c>
      <c r="B27" s="10" t="inlineStr">
        <is>
          <t>Idan Sasson</t>
        </is>
      </c>
      <c r="C27" s="10" t="inlineStr">
        <is>
          <t>Procurement Finance Analyst</t>
        </is>
      </c>
      <c r="D27" s="10" t="inlineStr">
        <is>
          <t>Procurement Finance</t>
        </is>
      </c>
      <c r="E27" s="10" t="inlineStr">
        <is>
          <t>Indirect Procurement</t>
        </is>
      </c>
      <c r="F27" s="10" t="inlineStr">
        <is>
          <t>E1020</t>
        </is>
      </c>
      <c r="G27" s="10" t="inlineStr">
        <is>
          <t>Rotem Cohen-Levi</t>
        </is>
      </c>
      <c r="H27" s="10" t="inlineStr">
        <is>
          <t>P2</t>
        </is>
      </c>
      <c r="I27" s="10" t="inlineStr">
        <is>
          <t>Tel Aviv (HQ)</t>
        </is>
      </c>
      <c r="J27" s="10" t="n">
        <v>1</v>
      </c>
      <c r="K27" s="11" t="n">
        <v>174000</v>
      </c>
      <c r="L27" s="12" t="n">
        <v>100</v>
      </c>
      <c r="M27" s="10" t="inlineStr">
        <is>
          <t>Individual Contributor</t>
        </is>
      </c>
    </row>
    <row r="28">
      <c r="A28" s="10" t="inlineStr">
        <is>
          <t>E1024</t>
        </is>
      </c>
      <c r="B28" s="10" t="inlineStr">
        <is>
          <t>Orly Vaknin</t>
        </is>
      </c>
      <c r="C28" s="10" t="inlineStr">
        <is>
          <t>Finance Business Partner</t>
        </is>
      </c>
      <c r="D28" s="10" t="inlineStr">
        <is>
          <t>Procurement Finance</t>
        </is>
      </c>
      <c r="E28" s="10" t="inlineStr">
        <is>
          <t>Indirect Procurement</t>
        </is>
      </c>
      <c r="F28" s="10" t="inlineStr">
        <is>
          <t>E1004</t>
        </is>
      </c>
      <c r="G28" s="10" t="inlineStr">
        <is>
          <t>Michal Ozer</t>
        </is>
      </c>
      <c r="H28" s="10" t="inlineStr">
        <is>
          <t>M1</t>
        </is>
      </c>
      <c r="I28" s="10" t="inlineStr">
        <is>
          <t>Tel Aviv (HQ)</t>
        </is>
      </c>
      <c r="J28" s="10" t="n">
        <v>4</v>
      </c>
      <c r="K28" s="11" t="n">
        <v>260000</v>
      </c>
      <c r="L28" s="12" t="n">
        <v>100</v>
      </c>
      <c r="M28" s="10" t="inlineStr">
        <is>
          <t>Individual Contributor</t>
        </is>
      </c>
    </row>
    <row r="29">
      <c r="A29" s="10" t="inlineStr">
        <is>
          <t>E1025</t>
        </is>
      </c>
      <c r="B29" s="10" t="inlineStr">
        <is>
          <t>Gilad Frenkel</t>
        </is>
      </c>
      <c r="C29" s="10" t="inlineStr">
        <is>
          <t>Finance Operations Coordinator</t>
        </is>
      </c>
      <c r="D29" s="10" t="inlineStr">
        <is>
          <t>Finance Leadership</t>
        </is>
      </c>
      <c r="E29" s="10" t="inlineStr">
        <is>
          <t>Shared Services</t>
        </is>
      </c>
      <c r="F29" s="10" t="inlineStr">
        <is>
          <t>E1001</t>
        </is>
      </c>
      <c r="G29" s="10" t="inlineStr">
        <is>
          <t>David Katz</t>
        </is>
      </c>
      <c r="H29" s="10" t="inlineStr">
        <is>
          <t>P1</t>
        </is>
      </c>
      <c r="I29" s="10" t="inlineStr">
        <is>
          <t>Tel Aviv (HQ)</t>
        </is>
      </c>
      <c r="J29" s="10" t="n">
        <v>2</v>
      </c>
      <c r="K29" s="11" t="n">
        <v>145000</v>
      </c>
      <c r="L29" s="12" t="n">
        <v>100</v>
      </c>
      <c r="M29" s="10" t="inlineStr">
        <is>
          <t>Individual Contributor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0" customWidth="1" min="4" max="4"/>
    <col width="20" customWidth="1" min="5" max="5"/>
  </cols>
  <sheetData>
    <row r="1">
      <c r="A1" s="8" t="inlineStr">
        <is>
          <t>Headcount Summary by Department</t>
        </is>
      </c>
    </row>
    <row r="2">
      <c r="A2" s="7" t="inlineStr">
        <is>
          <t>Derived from 'Current Org Roster' sheet</t>
        </is>
      </c>
    </row>
    <row r="4">
      <c r="A4" s="13" t="inlineStr">
        <is>
          <t>Department</t>
        </is>
      </c>
      <c r="B4" s="13" t="inlineStr">
        <is>
          <t>Headcount</t>
        </is>
      </c>
      <c r="C4" s="13" t="inlineStr">
        <is>
          <t>People Managers</t>
        </is>
      </c>
      <c r="D4" s="13" t="inlineStr">
        <is>
          <t>Individual Contributors</t>
        </is>
      </c>
      <c r="E4" s="13" t="inlineStr">
        <is>
          <t>Avg. Base Salary (ILS)</t>
        </is>
      </c>
    </row>
    <row r="5">
      <c r="A5" s="10" t="inlineStr">
        <is>
          <t>Finance Leadership</t>
        </is>
      </c>
      <c r="B5" s="10">
        <f>COUNTIF('Current Org Roster'!$D$5:$D$29,A5)</f>
        <v/>
      </c>
      <c r="C5" s="10">
        <f>COUNTIFS('Current Org Roster'!$D$5:$D$29,A5,'Current Org Roster'!$M$5:$M$29,"People Manager")</f>
        <v/>
      </c>
      <c r="D5" s="10">
        <f>COUNTIFS('Current Org Roster'!$D$5:$D$29,A5,'Current Org Roster'!$M$5:$M$29,"Individual Contributor")</f>
        <v/>
      </c>
      <c r="E5" s="11">
        <f>AVERAGEIF('Current Org Roster'!$D$5:$D$29,A5,'Current Org Roster'!$K$5:$K$29)</f>
        <v/>
      </c>
    </row>
    <row r="6">
      <c r="A6" s="10" t="inlineStr">
        <is>
          <t>FP&amp;A</t>
        </is>
      </c>
      <c r="B6" s="10">
        <f>COUNTIF('Current Org Roster'!$D$5:$D$29,A6)</f>
        <v/>
      </c>
      <c r="C6" s="10">
        <f>COUNTIFS('Current Org Roster'!$D$5:$D$29,A6,'Current Org Roster'!$M$5:$M$29,"People Manager")</f>
        <v/>
      </c>
      <c r="D6" s="10">
        <f>COUNTIFS('Current Org Roster'!$D$5:$D$29,A6,'Current Org Roster'!$M$5:$M$29,"Individual Contributor")</f>
        <v/>
      </c>
      <c r="E6" s="11">
        <f>AVERAGEIF('Current Org Roster'!$D$5:$D$29,A6,'Current Org Roster'!$K$5:$K$29)</f>
        <v/>
      </c>
    </row>
    <row r="7">
      <c r="A7" s="10" t="inlineStr">
        <is>
          <t>Controllership</t>
        </is>
      </c>
      <c r="B7" s="10">
        <f>COUNTIF('Current Org Roster'!$D$5:$D$29,A7)</f>
        <v/>
      </c>
      <c r="C7" s="10">
        <f>COUNTIFS('Current Org Roster'!$D$5:$D$29,A7,'Current Org Roster'!$M$5:$M$29,"People Manager")</f>
        <v/>
      </c>
      <c r="D7" s="10">
        <f>COUNTIFS('Current Org Roster'!$D$5:$D$29,A7,'Current Org Roster'!$M$5:$M$29,"Individual Contributor")</f>
        <v/>
      </c>
      <c r="E7" s="11">
        <f>AVERAGEIF('Current Org Roster'!$D$5:$D$29,A7,'Current Org Roster'!$K$5:$K$29)</f>
        <v/>
      </c>
    </row>
    <row r="8">
      <c r="A8" s="10" t="inlineStr">
        <is>
          <t>Procurement Finance</t>
        </is>
      </c>
      <c r="B8" s="10">
        <f>COUNTIF('Current Org Roster'!$D$5:$D$29,A8)</f>
        <v/>
      </c>
      <c r="C8" s="10">
        <f>COUNTIFS('Current Org Roster'!$D$5:$D$29,A8,'Current Org Roster'!$M$5:$M$29,"People Manager")</f>
        <v/>
      </c>
      <c r="D8" s="10">
        <f>COUNTIFS('Current Org Roster'!$D$5:$D$29,A8,'Current Org Roster'!$M$5:$M$29,"Individual Contributor")</f>
        <v/>
      </c>
      <c r="E8" s="11">
        <f>AVERAGEIF('Current Org Roster'!$D$5:$D$29,A8,'Current Org Roster'!$K$5:$K$29)</f>
        <v/>
      </c>
    </row>
    <row r="9">
      <c r="A9" s="14" t="inlineStr">
        <is>
          <t>Total</t>
        </is>
      </c>
      <c r="B9" s="14">
        <f>SUM(B5:B8)</f>
        <v/>
      </c>
      <c r="C9" s="14">
        <f>SUM(C5:C8)</f>
        <v/>
      </c>
      <c r="D9" s="14">
        <f>SUM(D5:D8)</f>
        <v/>
      </c>
      <c r="E9" s="15">
        <f>AVERAGE('Current Org Roster'!$K$5:$K$29)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6" customWidth="1" min="4" max="4"/>
    <col width="20" customWidth="1" min="5" max="5"/>
  </cols>
  <sheetData>
    <row r="1">
      <c r="A1" s="8" t="inlineStr">
        <is>
          <t>Span of Control Analysis — Managers</t>
        </is>
      </c>
    </row>
    <row r="2">
      <c r="A2" s="7" t="inlineStr">
        <is>
          <t>Flags managers with fewer than 4 direct reports as candidates for consolidation</t>
        </is>
      </c>
    </row>
    <row r="4">
      <c r="A4" s="13" t="inlineStr">
        <is>
          <t>Manager Name</t>
        </is>
      </c>
      <c r="B4" s="13" t="inlineStr">
        <is>
          <t>Title</t>
        </is>
      </c>
      <c r="C4" s="13" t="inlineStr">
        <is>
          <t>Department</t>
        </is>
      </c>
      <c r="D4" s="13" t="inlineStr">
        <is>
          <t>Direct Reports</t>
        </is>
      </c>
      <c r="E4" s="13" t="inlineStr">
        <is>
          <t>Flag</t>
        </is>
      </c>
    </row>
    <row r="5">
      <c r="A5" s="10" t="inlineStr">
        <is>
          <t>David Katz</t>
        </is>
      </c>
      <c r="B5" s="10" t="inlineStr">
        <is>
          <t>VP Finance, HQ</t>
        </is>
      </c>
      <c r="C5" s="10" t="inlineStr">
        <is>
          <t>Finance Leadership</t>
        </is>
      </c>
      <c r="D5" s="10">
        <f>COUNTIF('Current Org Roster'!$G$5:$G$29,A5)</f>
        <v/>
      </c>
      <c r="E5" s="10">
        <f>IF(D5&lt;4,"Below target (4+)","OK")</f>
        <v/>
      </c>
    </row>
    <row r="6">
      <c r="A6" s="10" t="inlineStr">
        <is>
          <t>Noa Ben-David</t>
        </is>
      </c>
      <c r="B6" s="10" t="inlineStr">
        <is>
          <t>Director, Financial Planning &amp; Analysis</t>
        </is>
      </c>
      <c r="C6" s="10" t="inlineStr">
        <is>
          <t>FP&amp;A</t>
        </is>
      </c>
      <c r="D6" s="10">
        <f>COUNTIF('Current Org Roster'!$G$5:$G$29,A6)</f>
        <v/>
      </c>
      <c r="E6" s="10">
        <f>IF(D6&lt;4,"Below target (4+)","OK")</f>
        <v/>
      </c>
    </row>
    <row r="7">
      <c r="A7" s="10" t="inlineStr">
        <is>
          <t>Amit Shalev</t>
        </is>
      </c>
      <c r="B7" s="10" t="inlineStr">
        <is>
          <t>Director, Controllership</t>
        </is>
      </c>
      <c r="C7" s="10" t="inlineStr">
        <is>
          <t>Controllership</t>
        </is>
      </c>
      <c r="D7" s="10">
        <f>COUNTIF('Current Org Roster'!$G$5:$G$29,A7)</f>
        <v/>
      </c>
      <c r="E7" s="10">
        <f>IF(D7&lt;4,"Below target (4+)","OK")</f>
        <v/>
      </c>
    </row>
    <row r="8">
      <c r="A8" s="10" t="inlineStr">
        <is>
          <t>Michal Ozer</t>
        </is>
      </c>
      <c r="B8" s="10" t="inlineStr">
        <is>
          <t>Director, Procurement Finance</t>
        </is>
      </c>
      <c r="C8" s="10" t="inlineStr">
        <is>
          <t>Procurement Finance</t>
        </is>
      </c>
      <c r="D8" s="10">
        <f>COUNTIF('Current Org Roster'!$G$5:$G$29,A8)</f>
        <v/>
      </c>
      <c r="E8" s="10">
        <f>IF(D8&lt;4,"Below target (4+)","OK")</f>
        <v/>
      </c>
    </row>
    <row r="9">
      <c r="A9" s="10" t="inlineStr">
        <is>
          <t>Yossi Mizrahi</t>
        </is>
      </c>
      <c r="B9" s="10" t="inlineStr">
        <is>
          <t>Senior Manager, FP&amp;A</t>
        </is>
      </c>
      <c r="C9" s="10" t="inlineStr">
        <is>
          <t>FP&amp;A</t>
        </is>
      </c>
      <c r="D9" s="10">
        <f>COUNTIF('Current Org Roster'!$G$5:$G$29,A9)</f>
        <v/>
      </c>
      <c r="E9" s="10">
        <f>IF(D9&lt;4,"Below target (4+)","OK")</f>
        <v/>
      </c>
    </row>
    <row r="10">
      <c r="A10" s="10" t="inlineStr">
        <is>
          <t>Tamar Avraham</t>
        </is>
      </c>
      <c r="B10" s="10" t="inlineStr">
        <is>
          <t>Senior Manager, FP&amp;A</t>
        </is>
      </c>
      <c r="C10" s="10" t="inlineStr">
        <is>
          <t>FP&amp;A</t>
        </is>
      </c>
      <c r="D10" s="10">
        <f>COUNTIF('Current Org Roster'!$G$5:$G$29,A10)</f>
        <v/>
      </c>
      <c r="E10" s="10">
        <f>IF(D10&lt;4,"Below target (4+)","OK")</f>
        <v/>
      </c>
    </row>
    <row r="11">
      <c r="A11" s="10" t="inlineStr">
        <is>
          <t>Liat Nahmias</t>
        </is>
      </c>
      <c r="B11" s="10" t="inlineStr">
        <is>
          <t>Senior Manager, Controllership</t>
        </is>
      </c>
      <c r="C11" s="10" t="inlineStr">
        <is>
          <t>Controllership</t>
        </is>
      </c>
      <c r="D11" s="10">
        <f>COUNTIF('Current Org Roster'!$G$5:$G$29,A11)</f>
        <v/>
      </c>
      <c r="E11" s="10">
        <f>IF(D11&lt;4,"Below target (4+)","OK")</f>
        <v/>
      </c>
    </row>
    <row r="12">
      <c r="A12" s="10" t="inlineStr">
        <is>
          <t>Guy Refael</t>
        </is>
      </c>
      <c r="B12" s="10" t="inlineStr">
        <is>
          <t>Senior Manager, Controllership</t>
        </is>
      </c>
      <c r="C12" s="10" t="inlineStr">
        <is>
          <t>Controllership</t>
        </is>
      </c>
      <c r="D12" s="10">
        <f>COUNTIF('Current Org Roster'!$G$5:$G$29,A12)</f>
        <v/>
      </c>
      <c r="E12" s="10">
        <f>IF(D12&lt;4,"Below target (4+)","OK")</f>
        <v/>
      </c>
    </row>
    <row r="13">
      <c r="A13" s="10" t="inlineStr">
        <is>
          <t>Rotem Cohen-Levi</t>
        </is>
      </c>
      <c r="B13" s="10" t="inlineStr">
        <is>
          <t>Senior Manager, Procurement Finance</t>
        </is>
      </c>
      <c r="C13" s="10" t="inlineStr">
        <is>
          <t>Procurement Finance</t>
        </is>
      </c>
      <c r="D13" s="10">
        <f>COUNTIF('Current Org Roster'!$G$5:$G$29,A13)</f>
        <v/>
      </c>
      <c r="E13" s="10">
        <f>IF(D13&lt;4,"Below target (4+)","OK")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</cols>
  <sheetData>
    <row r="1">
      <c r="A1" s="8" t="inlineStr">
        <is>
          <t>Compensation Cost Summary</t>
        </is>
      </c>
    </row>
    <row r="2">
      <c r="A2" s="7" t="inlineStr">
        <is>
          <t>Assumption (highlighted): employer on-cost loading factor applied to base salary — confirm with Total Rewards</t>
        </is>
      </c>
    </row>
    <row r="4">
      <c r="A4" s="4" t="inlineStr">
        <is>
          <t>Total Headcount</t>
        </is>
      </c>
      <c r="B4" s="5">
        <f>'Headcount Summary'!B9</f>
        <v/>
      </c>
    </row>
    <row r="5">
      <c r="A5" s="4" t="inlineStr">
        <is>
          <t>Total Annual Base Salary Cost (ILS)</t>
        </is>
      </c>
      <c r="B5" s="16">
        <f>SUM('Current Org Roster'!$K$5:$K$29)</f>
        <v/>
      </c>
    </row>
    <row r="6">
      <c r="A6" s="4" t="inlineStr">
        <is>
          <t>Employer On-Cost Loading Factor</t>
        </is>
      </c>
      <c r="B6" s="17" t="n">
        <v>0.28</v>
      </c>
      <c r="C6" s="7" t="inlineStr">
        <is>
          <t>← Input: confirm with Total Rewards / HR Finance (placeholder estimate)</t>
        </is>
      </c>
    </row>
    <row r="7">
      <c r="A7" s="4" t="inlineStr">
        <is>
          <t>Total Fully-Loaded Compensation Cost (ILS)</t>
        </is>
      </c>
      <c r="B7" s="18">
        <f>B5*(1+B6)</f>
        <v/>
      </c>
    </row>
    <row r="9">
      <c r="A9" s="4" t="inlineStr">
        <is>
          <t>Estimated Annual Savings if 3 IC Roles Eliminated (avg. loaded cost)</t>
        </is>
      </c>
      <c r="B9" s="16">
        <f>(B7/B4)*3</f>
        <v/>
      </c>
      <c r="C9" s="7" t="inlineStr">
        <is>
          <t>← Illustrative only, see 'Org Redesign Scenarios' workbook for modeled scenarios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2026-08-20T11:48:57Z</dcterms:created>
  <dcterms:modified xmlns:dcterms="http://purl.org/dc/terms/" xmlns:xsi="http://www.w3.org/2001/XMLSchema-instance" xsi:type="dcterms:W3CDTF">2026-08-20T11:48:57Z</dcterms:modified>
</cp:coreProperties>
</file>